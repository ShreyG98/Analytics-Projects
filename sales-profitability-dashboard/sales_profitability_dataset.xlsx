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Analytics Projects\"/>
    </mc:Choice>
  </mc:AlternateContent>
  <xr:revisionPtr revIDLastSave="0" documentId="13_ncr:1_{509C9956-93C3-4C0C-872D-FFACED7D2F14}" xr6:coauthVersionLast="36" xr6:coauthVersionMax="36" xr10:uidLastSave="{00000000-0000-0000-0000-000000000000}"/>
  <bookViews>
    <workbookView xWindow="0" yWindow="0" windowWidth="19200" windowHeight="7430" activeTab="1" xr2:uid="{00000000-000D-0000-FFFF-FFFF00000000}"/>
  </bookViews>
  <sheets>
    <sheet name="Sales Data" sheetId="1" r:id="rId1"/>
    <sheet name="Dashboard" sheetId="2" r:id="rId2"/>
    <sheet name="Pivots" sheetId="3" r:id="rId3"/>
  </sheets>
  <definedNames>
    <definedName name="_xlnm._FilterDatabase" localSheetId="0" hidden="1">'Sales Data'!$A$1:$L$151</definedName>
    <definedName name="Slicer_Category">#N/A</definedName>
    <definedName name="Slicer_Region">#N/A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J3" i="2" l="1"/>
  <c r="D3" i="2"/>
  <c r="A3" i="2"/>
  <c r="G3" i="2" l="1"/>
</calcChain>
</file>

<file path=xl/sharedStrings.xml><?xml version="1.0" encoding="utf-8"?>
<sst xmlns="http://schemas.openxmlformats.org/spreadsheetml/2006/main" count="660" uniqueCount="205">
  <si>
    <t>Order ID</t>
  </si>
  <si>
    <t>Date</t>
  </si>
  <si>
    <t>Product</t>
  </si>
  <si>
    <t>Category</t>
  </si>
  <si>
    <t>Region</t>
  </si>
  <si>
    <t>Units Sold</t>
  </si>
  <si>
    <t>Unit Price</t>
  </si>
  <si>
    <t>Unit Cost</t>
  </si>
  <si>
    <t>Revenue</t>
  </si>
  <si>
    <t>Cost</t>
  </si>
  <si>
    <t>Profit</t>
  </si>
  <si>
    <t>Profit Margin</t>
  </si>
  <si>
    <t>ORD001</t>
  </si>
  <si>
    <t>Monitor</t>
  </si>
  <si>
    <t>Electronics</t>
  </si>
  <si>
    <t>West</t>
  </si>
  <si>
    <t>ORD002</t>
  </si>
  <si>
    <t>North</t>
  </si>
  <si>
    <t>ORD003</t>
  </si>
  <si>
    <t>Office Chair</t>
  </si>
  <si>
    <t>Furniture</t>
  </si>
  <si>
    <t>ORD004</t>
  </si>
  <si>
    <t>Backpack</t>
  </si>
  <si>
    <t>Accessories</t>
  </si>
  <si>
    <t>ORD005</t>
  </si>
  <si>
    <t>South</t>
  </si>
  <si>
    <t>ORD006</t>
  </si>
  <si>
    <t>Tablet</t>
  </si>
  <si>
    <t>ORD007</t>
  </si>
  <si>
    <t>Headphones</t>
  </si>
  <si>
    <t>East</t>
  </si>
  <si>
    <t>ORD008</t>
  </si>
  <si>
    <t>ORD009</t>
  </si>
  <si>
    <t>Smartphone</t>
  </si>
  <si>
    <t>ORD010</t>
  </si>
  <si>
    <t>ORD011</t>
  </si>
  <si>
    <t>ORD012</t>
  </si>
  <si>
    <t>ORD013</t>
  </si>
  <si>
    <t>ORD014</t>
  </si>
  <si>
    <t>Keyboard</t>
  </si>
  <si>
    <t>ORD015</t>
  </si>
  <si>
    <t>ORD016</t>
  </si>
  <si>
    <t>Mouse</t>
  </si>
  <si>
    <t>ORD017</t>
  </si>
  <si>
    <t>ORD018</t>
  </si>
  <si>
    <t>Laptop</t>
  </si>
  <si>
    <t>ORD019</t>
  </si>
  <si>
    <t>ORD020</t>
  </si>
  <si>
    <t>ORD021</t>
  </si>
  <si>
    <t>ORD022</t>
  </si>
  <si>
    <t>Desk</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</si>
  <si>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</si>
  <si>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</si>
  <si>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</si>
  <si>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</si>
  <si>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</si>
  <si>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</si>
  <si>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</si>
  <si>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</si>
  <si>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</si>
  <si>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</si>
  <si>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</si>
  <si>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</si>
  <si>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</si>
  <si>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</si>
  <si>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</si>
  <si>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</si>
  <si>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</si>
  <si>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</si>
  <si>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</si>
  <si>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</si>
  <si>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</si>
  <si>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</si>
  <si>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</si>
  <si>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</si>
  <si>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</si>
  <si>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</si>
  <si>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</si>
  <si>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</si>
  <si>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</si>
  <si>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</si>
  <si>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</si>
  <si>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</si>
  <si>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</si>
  <si>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</si>
  <si>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</si>
  <si>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</si>
  <si>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</si>
  <si>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</si>
  <si>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</si>
  <si>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</si>
  <si>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</si>
  <si>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</si>
  <si>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</si>
  <si>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</si>
  <si>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</si>
  <si>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</si>
  <si>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</si>
  <si>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</si>
  <si>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</si>
  <si>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</si>
  <si>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</si>
  <si>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</si>
  <si>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</si>
  <si>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</si>
  <si>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</si>
  <si>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</si>
  <si>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</si>
  <si>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</si>
  <si>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</si>
  <si>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</si>
  <si>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</si>
  <si>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</si>
  <si>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</si>
  <si>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</si>
  <si>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</si>
  <si>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</si>
  <si>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</si>
  <si>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</si>
  <si>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</si>
  <si>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</si>
  <si>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</si>
  <si>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</si>
  <si>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</si>
  <si>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</si>
  <si>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</si>
  <si>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</si>
  <si>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</si>
  <si>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</si>
  <si>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</si>
  <si>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</si>
  <si>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</si>
  <si>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</si>
  <si>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</si>
  <si>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</si>
  <si>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</si>
  <si>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</si>
  <si>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</si>
  <si>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</si>
  <si>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</si>
  <si>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</si>
  <si>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</si>
  <si>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</si>
  <si>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</si>
  <si>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</si>
  <si>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</si>
  <si>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</si>
  <si>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</si>
  <si>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</si>
  <si>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</si>
  <si>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</si>
  <si>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</si>
  <si>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</si>
  <si>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</si>
  <si>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</si>
  <si>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</si>
  <si>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</si>
  <si>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</si>
  <si>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</si>
  <si>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</si>
  <si>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</si>
  <si>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</si>
  <si>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</si>
  <si>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</si>
  <si>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</si>
  <si>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</si>
  <si>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</si>
  <si>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</si>
  <si>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</si>
  <si>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</si>
  <si>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</si>
  <si>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</si>
  <si>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</si>
  <si>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</si>
  <si>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</si>
  <si>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</si>
  <si>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</si>
  <si>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</si>
  <si>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</si>
  <si>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Jan</t>
  </si>
  <si>
    <t>Feb</t>
  </si>
  <si>
    <t>Mar</t>
  </si>
  <si>
    <t>Apr</t>
  </si>
  <si>
    <t>May</t>
  </si>
  <si>
    <t>Jun</t>
  </si>
  <si>
    <t>Jul</t>
  </si>
  <si>
    <t>Aug</t>
  </si>
  <si>
    <t>Sep</t>
  </si>
  <si>
    <t>Months</t>
  </si>
  <si>
    <t>Profit.</t>
  </si>
  <si>
    <t>Revenue.</t>
  </si>
  <si>
    <t>Regions</t>
  </si>
  <si>
    <t>Products</t>
  </si>
  <si>
    <t>MONTHLY REVENUE</t>
  </si>
  <si>
    <t>PROFIT BY CATEGORY</t>
  </si>
  <si>
    <t>REGIONAL PERFORMANCE</t>
  </si>
  <si>
    <t>PRODUCT PERFORMANCE</t>
  </si>
  <si>
    <t>SALES AND PROFITABILITY DASHBOARD</t>
  </si>
  <si>
    <t>REVENUE</t>
  </si>
  <si>
    <t>PROFIT</t>
  </si>
  <si>
    <t>PROFIT MARGIN</t>
  </si>
  <si>
    <t>UNITS SOLD</t>
  </si>
  <si>
    <t>Sum of Revenue</t>
  </si>
  <si>
    <t>Sum of Profit</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</si>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</sst>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0%"/>
    <numFmt numFmtId="166" formatCode="dd\-mmm\-yyyy"/>
    <numFmt numFmtId="167" formatCode="&quot;₹&quot;\ #,##0"/>
  </numFmts>
  <fonts count="6" x14ac:knownFonts="1">
    <font>
      <sz val="11"/>
      <color theme="1"/>
      <name val="Calibri"/>
      <family val="2"/>
      <scheme val="minor"/>
    </font>
    <font>
      <b/>
      <sz val="11"/>
      <name val="Calibri"/>
    </font>
    <font>
      <b/>
      <sz val="11"/>
      <color theme="1"/>
      <name val="Calibri"/>
      <family val="2"/>
      <scheme val="minor"/>
    </font>
    <font>
      <b/>
      <sz val="12"/>
      <color theme="1"/>
      <name val="Calibri"/>
      <family val="2"/>
      <scheme val="minor"/>
    </font>
    <font>
      <b/>
      <sz val="16"/>
      <color theme="1"/>
      <name val="Calibri"/>
      <family val="2"/>
      <scheme val="minor"/>
    </font>
    <font>
      <b/>
      <sz val="26"/>
      <color theme="1"/>
      <name val="Calibri"/>
      <family val="2"/>
      <scheme val="minor"/>
    </font>
  </fonts>
  <fills count="3">
    <fill>
      <patternFill patternType="none"/>
    </fill>
    <fill>
      <patternFill patternType="gray125"/>
    </fill>
    <fill>
      <patternFill patternType="solid">
        <fgColor theme="6" tint="0.79998168889431442"/>
        <bgColor indexed="64"/>
      </patternFill>
    </fill>
  </fills>
  <borders count="3">
    <border>
      <left/>
      <right/>
      <top/>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166" fontId="0" fillId="0" borderId="0" xfId="0" applyNumberFormat="1"/>
    <xf numFmtId="164" fontId="0" fillId="0" borderId="0" xfId="0" applyNumberFormat="1"/>
    <xf numFmtId="165"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2" fillId="0" borderId="0" xfId="0" applyFont="1"/>
    <xf numFmtId="0" fontId="2" fillId="0" borderId="0" xfId="0" applyFont="1" applyAlignment="1">
      <alignment horizontal="left"/>
    </xf>
    <xf numFmtId="0" fontId="3" fillId="0" borderId="0" xfId="0" applyFont="1" applyAlignment="1">
      <alignment horizontal="center"/>
    </xf>
    <xf numFmtId="0" fontId="5" fillId="0" borderId="0" xfId="0" applyFont="1" applyAlignment="1">
      <alignment horizontal="center"/>
    </xf>
    <xf numFmtId="167" fontId="4" fillId="2" borderId="2" xfId="0" applyNumberFormat="1" applyFont="1" applyFill="1" applyBorder="1" applyAlignment="1"/>
    <xf numFmtId="167" fontId="4" fillId="2" borderId="2" xfId="0" applyNumberFormat="1" applyFont="1" applyFill="1" applyBorder="1" applyAlignment="1">
      <alignment horizontal="center"/>
    </xf>
    <xf numFmtId="165" fontId="4" fillId="2" borderId="2" xfId="0" applyNumberFormat="1" applyFont="1" applyFill="1" applyBorder="1" applyAlignment="1">
      <alignment horizontal="center"/>
    </xf>
    <xf numFmtId="0" fontId="4" fillId="2" borderId="2" xfId="0" applyFont="1" applyFill="1" applyBorder="1" applyAlignment="1">
      <alignment horizontal="center"/>
    </xf>
    <xf numFmtId="0" fontId="3" fillId="2" borderId="2" xfId="0" applyFont="1" applyFill="1" applyBorder="1" applyAlignment="1">
      <alignment horizontal="center"/>
    </xf>
  </cellXfs>
  <cellStyles count="1">
    <cellStyle name="Normal" xfId="0" builtinId="0"/>
  </cellStyles>
  <dxfs count="10">
    <dxf>
      <numFmt numFmtId="165" formatCode="0.0%"/>
    </dxf>
    <dxf>
      <numFmt numFmtId="164" formatCode="\₹#,##0"/>
    </dxf>
    <dxf>
      <numFmt numFmtId="164" formatCode="\₹#,##0"/>
    </dxf>
    <dxf>
      <numFmt numFmtId="164" formatCode="\₹#,##0"/>
    </dxf>
    <dxf>
      <numFmt numFmtId="164" formatCode="\₹#,##0"/>
    </dxf>
    <dxf>
      <numFmt numFmtId="164" formatCode="\₹#,##0"/>
    </dxf>
    <dxf>
      <numFmt numFmtId="166" formatCode="dd\-m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[sales_profitability_dataset.xlsx]Pivots!PivotTable1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Revenue</a:t>
            </a:r>
            <a:endParaRPr lang="en-US" b="1"/>
          </a:p>
        </c:rich>
      </c:tx>
      <c:layout>
        <c:manualLayout>
          <c:xMode val="edge"/>
          <c:yMode val="edge"/>
          <c:x val="0.61095986038394423"/>
          <c:y val="2.549081364829396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Pivots!$B$3</c:f>
              <c:strCache>
                <c:ptCount val="1"/>
                <c:pt idx="0">
                  <c:v>Total</c:v>
                </c:pt>
              </c:strCache>
            </c:strRef>
          </c:tx>
          <c:spPr>
            <a:ln w="28575" cap="rnd">
              <a:solidFill>
                <a:schemeClr val="accent1"/>
              </a:solidFill>
              <a:round/>
            </a:ln>
            <a:effectLst/>
          </c:spPr>
          <c:marker>
            <c:symbol val="none"/>
          </c:marker>
          <c:cat>
            <c:strRef>
              <c:f>Pivots!$A$4:$A$12</c:f>
              <c:strCache>
                <c:ptCount val="9"/>
                <c:pt idx="0">
                  <c:v>Jan</c:v>
                </c:pt>
                <c:pt idx="1">
                  <c:v>Feb</c:v>
                </c:pt>
                <c:pt idx="2">
                  <c:v>Mar</c:v>
                </c:pt>
                <c:pt idx="3">
                  <c:v>Apr</c:v>
                </c:pt>
                <c:pt idx="4">
                  <c:v>May</c:v>
                </c:pt>
                <c:pt idx="5">
                  <c:v>Jun</c:v>
                </c:pt>
                <c:pt idx="6">
                  <c:v>Jul</c:v>
                </c:pt>
                <c:pt idx="7">
                  <c:v>Aug</c:v>
                </c:pt>
                <c:pt idx="8">
                  <c:v>Sep</c:v>
                </c:pt>
              </c:strCache>
            </c:strRef>
          </c:cat>
          <c:val>
            <c:numRef>
              <c:f>Pivots!$B$4:$B$12</c:f>
              <c:numCache>
                <c:formatCode>General</c:formatCode>
                <c:ptCount val="9"/>
                <c:pt idx="0">
                  <c:v>873168</c:v>
                </c:pt>
                <c:pt idx="1">
                  <c:v>1034017</c:v>
                </c:pt>
                <c:pt idx="2">
                  <c:v>1569998</c:v>
                </c:pt>
                <c:pt idx="3">
                  <c:v>2046855</c:v>
                </c:pt>
                <c:pt idx="4">
                  <c:v>1304573</c:v>
                </c:pt>
                <c:pt idx="5">
                  <c:v>585478</c:v>
                </c:pt>
                <c:pt idx="6">
                  <c:v>1121307</c:v>
                </c:pt>
                <c:pt idx="7">
                  <c:v>1916863</c:v>
                </c:pt>
                <c:pt idx="8">
                  <c:v>755371</c:v>
                </c:pt>
              </c:numCache>
            </c:numRef>
          </c:val>
          <c:smooth val="0"/>
          <c:extLst>
            <c:ext xmlns:c16="http://schemas.microsoft.com/office/drawing/2014/chart" uri="{C3380CC4-5D6E-409C-BE32-E72D297353CC}">
              <c16:uniqueId val="{00000000-A79A-4E4B-8EDB-FBBA6F5DAEAF}"/>
            </c:ext>
          </c:extLst>
        </c:ser>
        <c:dLbls>
          <c:showLegendKey val="0"/>
          <c:showVal val="0"/>
          <c:showCatName val="0"/>
          <c:showSerName val="0"/>
          <c:showPercent val="0"/>
          <c:showBubbleSize val="0"/>
        </c:dLbls>
        <c:smooth val="0"/>
        <c:axId val="982544991"/>
        <c:axId val="1274019231"/>
      </c:lineChart>
      <c:catAx>
        <c:axId val="98254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19231"/>
        <c:crosses val="autoZero"/>
        <c:auto val="1"/>
        <c:lblAlgn val="ctr"/>
        <c:lblOffset val="100"/>
        <c:noMultiLvlLbl val="0"/>
      </c:catAx>
      <c:valAx>
        <c:axId val="1274019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544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[sales_profitability_dataset.xlsx]Pivots!PivotTable2</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a:t>
            </a:r>
            <a:r>
              <a:rPr lang="en-US" b="1" baseline="0"/>
              <a:t> by Category</a:t>
            </a:r>
            <a:endParaRPr lang="en-US" b="1"/>
          </a:p>
        </c:rich>
      </c:tx>
      <c:layout>
        <c:manualLayout>
          <c:xMode val="edge"/>
          <c:yMode val="edge"/>
          <c:x val="0.59698419690545679"/>
          <c:y val="3.090656448692577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14935870516185476"/>
          <c:y val="0.26328484981044037"/>
          <c:w val="0.72312270341207352"/>
          <c:h val="0.53774387576552929"/>
        </c:manualLayout>
      </c:layout>
      <c:barChart>
        <c:barDir val="col"/>
        <c:grouping val="clustered"/>
        <c:varyColors val="0"/>
        <c:ser>
          <c:idx val="0"/>
          <c:order val="0"/>
          <c:tx>
            <c:strRef>
              <c:f>Pivots!$F$3</c:f>
              <c:strCache>
                <c:ptCount val="1"/>
                <c:pt idx="0">
                  <c:v>Total</c:v>
                </c:pt>
              </c:strCache>
            </c:strRef>
          </c:tx>
          <c:spPr>
            <a:solidFill>
              <a:schemeClr val="accent1"/>
            </a:solidFill>
            <a:ln>
              <a:noFill/>
            </a:ln>
            <a:effectLst/>
          </c:spPr>
          <c:invertIfNegative val="0"/>
          <c:cat>
            <c:strRef>
              <c:f>Pivots!$E$4:$E$6</c:f>
              <c:strCache>
                <c:ptCount val="3"/>
                <c:pt idx="0">
                  <c:v>Accessories</c:v>
                </c:pt>
                <c:pt idx="1">
                  <c:v>Electronics</c:v>
                </c:pt>
                <c:pt idx="2">
                  <c:v>Furniture</c:v>
                </c:pt>
              </c:strCache>
            </c:strRef>
          </c:cat>
          <c:val>
            <c:numRef>
              <c:f>Pivots!$F$4:$F$6</c:f>
              <c:numCache>
                <c:formatCode>General</c:formatCode>
                <c:ptCount val="3"/>
                <c:pt idx="0">
                  <c:v>153979</c:v>
                </c:pt>
                <c:pt idx="1">
                  <c:v>2028926</c:v>
                </c:pt>
                <c:pt idx="2">
                  <c:v>564114</c:v>
                </c:pt>
              </c:numCache>
            </c:numRef>
          </c:val>
          <c:extLst>
            <c:ext xmlns:c16="http://schemas.microsoft.com/office/drawing/2014/chart" uri="{C3380CC4-5D6E-409C-BE32-E72D297353CC}">
              <c16:uniqueId val="{00000000-2B2C-4968-A093-1617AE92274A}"/>
            </c:ext>
          </c:extLst>
        </c:ser>
        <c:dLbls>
          <c:showLegendKey val="0"/>
          <c:showVal val="0"/>
          <c:showCatName val="0"/>
          <c:showSerName val="0"/>
          <c:showPercent val="0"/>
          <c:showBubbleSize val="0"/>
        </c:dLbls>
        <c:gapWidth val="219"/>
        <c:overlap val="-27"/>
        <c:axId val="1276162415"/>
        <c:axId val="978139855"/>
      </c:barChart>
      <c:catAx>
        <c:axId val="1276162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139855"/>
        <c:crosses val="autoZero"/>
        <c:auto val="1"/>
        <c:lblAlgn val="ctr"/>
        <c:lblOffset val="100"/>
        <c:noMultiLvlLbl val="0"/>
      </c:catAx>
      <c:valAx>
        <c:axId val="978139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162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[sales_profitability_dataset.xlsx]Pivots!PivotTable3</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Regional</a:t>
            </a:r>
            <a:r>
              <a:rPr lang="en-IN" b="1" baseline="0"/>
              <a:t> Performance</a:t>
            </a:r>
            <a:endParaRPr lang="en-IN" b="1"/>
          </a:p>
        </c:rich>
      </c:tx>
      <c:layout>
        <c:manualLayout>
          <c:xMode val="edge"/>
          <c:yMode val="edge"/>
          <c:x val="0.5260225207863003"/>
          <c:y val="2.54230189311442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Pivots!$B$16</c:f>
              <c:strCache>
                <c:ptCount val="1"/>
                <c:pt idx="0">
                  <c:v>Revenue.</c:v>
                </c:pt>
              </c:strCache>
            </c:strRef>
          </c:tx>
          <c:spPr>
            <a:solidFill>
              <a:schemeClr val="accent1"/>
            </a:solidFill>
            <a:ln>
              <a:noFill/>
            </a:ln>
            <a:effectLst/>
          </c:spPr>
          <c:invertIfNegative val="0"/>
          <c:cat>
            <c:strRef>
              <c:f>Pivots!$A$17:$A$20</c:f>
              <c:strCache>
                <c:ptCount val="4"/>
                <c:pt idx="0">
                  <c:v>East</c:v>
                </c:pt>
                <c:pt idx="1">
                  <c:v>North</c:v>
                </c:pt>
                <c:pt idx="2">
                  <c:v>South</c:v>
                </c:pt>
                <c:pt idx="3">
                  <c:v>West</c:v>
                </c:pt>
              </c:strCache>
            </c:strRef>
          </c:cat>
          <c:val>
            <c:numRef>
              <c:f>Pivots!$B$17:$B$20</c:f>
              <c:numCache>
                <c:formatCode>General</c:formatCode>
                <c:ptCount val="4"/>
                <c:pt idx="0">
                  <c:v>1980476</c:v>
                </c:pt>
                <c:pt idx="1">
                  <c:v>2730859</c:v>
                </c:pt>
                <c:pt idx="2">
                  <c:v>2656295</c:v>
                </c:pt>
                <c:pt idx="3">
                  <c:v>3840000</c:v>
                </c:pt>
              </c:numCache>
            </c:numRef>
          </c:val>
          <c:extLst>
            <c:ext xmlns:c16="http://schemas.microsoft.com/office/drawing/2014/chart" uri="{C3380CC4-5D6E-409C-BE32-E72D297353CC}">
              <c16:uniqueId val="{00000000-C2BD-41FB-AE74-47EDD0FD8606}"/>
            </c:ext>
          </c:extLst>
        </c:ser>
        <c:ser>
          <c:idx val="1"/>
          <c:order val="1"/>
          <c:tx>
            <c:strRef>
              <c:f>Pivots!$C$16</c:f>
              <c:strCache>
                <c:ptCount val="1"/>
                <c:pt idx="0">
                  <c:v>Profit.</c:v>
                </c:pt>
              </c:strCache>
            </c:strRef>
          </c:tx>
          <c:spPr>
            <a:solidFill>
              <a:schemeClr val="accent2"/>
            </a:solidFill>
            <a:ln>
              <a:noFill/>
            </a:ln>
            <a:effectLst/>
          </c:spPr>
          <c:invertIfNegative val="0"/>
          <c:cat>
            <c:strRef>
              <c:f>Pivots!$A$17:$A$20</c:f>
              <c:strCache>
                <c:ptCount val="4"/>
                <c:pt idx="0">
                  <c:v>East</c:v>
                </c:pt>
                <c:pt idx="1">
                  <c:v>North</c:v>
                </c:pt>
                <c:pt idx="2">
                  <c:v>South</c:v>
                </c:pt>
                <c:pt idx="3">
                  <c:v>West</c:v>
                </c:pt>
              </c:strCache>
            </c:strRef>
          </c:cat>
          <c:val>
            <c:numRef>
              <c:f>Pivots!$C$17:$C$20</c:f>
              <c:numCache>
                <c:formatCode>General</c:formatCode>
                <c:ptCount val="4"/>
                <c:pt idx="0">
                  <c:v>487259</c:v>
                </c:pt>
                <c:pt idx="1">
                  <c:v>706400</c:v>
                </c:pt>
                <c:pt idx="2">
                  <c:v>607436</c:v>
                </c:pt>
                <c:pt idx="3">
                  <c:v>945924</c:v>
                </c:pt>
              </c:numCache>
            </c:numRef>
          </c:val>
          <c:extLst>
            <c:ext xmlns:c16="http://schemas.microsoft.com/office/drawing/2014/chart" uri="{C3380CC4-5D6E-409C-BE32-E72D297353CC}">
              <c16:uniqueId val="{00000001-C2BD-41FB-AE74-47EDD0FD8606}"/>
            </c:ext>
          </c:extLst>
        </c:ser>
        <c:dLbls>
          <c:showLegendKey val="0"/>
          <c:showVal val="0"/>
          <c:showCatName val="0"/>
          <c:showSerName val="0"/>
          <c:showPercent val="0"/>
          <c:showBubbleSize val="0"/>
        </c:dLbls>
        <c:gapWidth val="219"/>
        <c:overlap val="-27"/>
        <c:axId val="1275678607"/>
        <c:axId val="957339599"/>
      </c:barChart>
      <c:catAx>
        <c:axId val="127567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339599"/>
        <c:crosses val="autoZero"/>
        <c:auto val="1"/>
        <c:lblAlgn val="ctr"/>
        <c:lblOffset val="100"/>
        <c:noMultiLvlLbl val="0"/>
      </c:catAx>
      <c:valAx>
        <c:axId val="957339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678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[sales_profitability_dataset.xlsx]Pivots!PivotTable4</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Product Performance</a:t>
            </a:r>
          </a:p>
        </c:rich>
      </c:tx>
      <c:layout>
        <c:manualLayout>
          <c:xMode val="edge"/>
          <c:yMode val="edge"/>
          <c:x val="0.54267361111111123"/>
          <c:y val="2.569638472610278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manualLayout>
          <c:layoutTarget val="inner"/>
          <c:xMode val="edge"/>
          <c:yMode val="edge"/>
          <c:x val="0.22991583685077488"/>
          <c:y val="0.17134154601642537"/>
          <c:w val="0.6934795190002272"/>
          <c:h val="0.70393658453983576"/>
        </c:manualLayout>
      </c:layout>
      <c:barChart>
        <c:barDir val="bar"/>
        <c:grouping val="clustered"/>
        <c:varyColors val="0"/>
        <c:ser>
          <c:idx val="0"/>
          <c:order val="0"/>
          <c:tx>
            <c:strRef>
              <c:f>Pivots!$F$16</c:f>
              <c:strCache>
                <c:ptCount val="1"/>
                <c:pt idx="0">
                  <c:v>Revenue.</c:v>
                </c:pt>
              </c:strCache>
            </c:strRef>
          </c:tx>
          <c:spPr>
            <a:solidFill>
              <a:schemeClr val="accent1"/>
            </a:solidFill>
            <a:ln>
              <a:noFill/>
            </a:ln>
            <a:effectLst/>
          </c:spPr>
          <c:invertIfNegative val="0"/>
          <c:cat>
            <c:strRef>
              <c:f>Pivots!$E$17:$E$26</c:f>
              <c:strCache>
                <c:ptCount val="10"/>
                <c:pt idx="0">
                  <c:v>Laptop</c:v>
                </c:pt>
                <c:pt idx="1">
                  <c:v>Smartphone</c:v>
                </c:pt>
                <c:pt idx="2">
                  <c:v>Tablet</c:v>
                </c:pt>
                <c:pt idx="3">
                  <c:v>Desk</c:v>
                </c:pt>
                <c:pt idx="4">
                  <c:v>Monitor</c:v>
                </c:pt>
                <c:pt idx="5">
                  <c:v>Office Chair</c:v>
                </c:pt>
                <c:pt idx="6">
                  <c:v>Headphones</c:v>
                </c:pt>
                <c:pt idx="7">
                  <c:v>Backpack</c:v>
                </c:pt>
                <c:pt idx="8">
                  <c:v>Keyboard</c:v>
                </c:pt>
                <c:pt idx="9">
                  <c:v>Mouse</c:v>
                </c:pt>
              </c:strCache>
            </c:strRef>
          </c:cat>
          <c:val>
            <c:numRef>
              <c:f>Pivots!$F$17:$F$26</c:f>
              <c:numCache>
                <c:formatCode>General</c:formatCode>
                <c:ptCount val="10"/>
                <c:pt idx="0">
                  <c:v>4936448</c:v>
                </c:pt>
                <c:pt idx="1">
                  <c:v>1883646</c:v>
                </c:pt>
                <c:pt idx="2">
                  <c:v>1329176</c:v>
                </c:pt>
                <c:pt idx="3">
                  <c:v>1296104</c:v>
                </c:pt>
                <c:pt idx="4">
                  <c:v>650407</c:v>
                </c:pt>
                <c:pt idx="5">
                  <c:v>470054</c:v>
                </c:pt>
                <c:pt idx="6">
                  <c:v>294124</c:v>
                </c:pt>
                <c:pt idx="7">
                  <c:v>149264</c:v>
                </c:pt>
                <c:pt idx="8">
                  <c:v>101368</c:v>
                </c:pt>
                <c:pt idx="9">
                  <c:v>97039</c:v>
                </c:pt>
              </c:numCache>
            </c:numRef>
          </c:val>
          <c:extLst>
            <c:ext xmlns:c16="http://schemas.microsoft.com/office/drawing/2014/chart" uri="{C3380CC4-5D6E-409C-BE32-E72D297353CC}">
              <c16:uniqueId val="{00000000-5579-42E6-A143-716F930687BE}"/>
            </c:ext>
          </c:extLst>
        </c:ser>
        <c:ser>
          <c:idx val="1"/>
          <c:order val="1"/>
          <c:tx>
            <c:strRef>
              <c:f>Pivots!$G$16</c:f>
              <c:strCache>
                <c:ptCount val="1"/>
                <c:pt idx="0">
                  <c:v>Profit.</c:v>
                </c:pt>
              </c:strCache>
            </c:strRef>
          </c:tx>
          <c:spPr>
            <a:solidFill>
              <a:schemeClr val="accent2"/>
            </a:solidFill>
            <a:ln>
              <a:noFill/>
            </a:ln>
            <a:effectLst/>
          </c:spPr>
          <c:invertIfNegative val="0"/>
          <c:cat>
            <c:strRef>
              <c:f>Pivots!$E$17:$E$26</c:f>
              <c:strCache>
                <c:ptCount val="10"/>
                <c:pt idx="0">
                  <c:v>Laptop</c:v>
                </c:pt>
                <c:pt idx="1">
                  <c:v>Smartphone</c:v>
                </c:pt>
                <c:pt idx="2">
                  <c:v>Tablet</c:v>
                </c:pt>
                <c:pt idx="3">
                  <c:v>Desk</c:v>
                </c:pt>
                <c:pt idx="4">
                  <c:v>Monitor</c:v>
                </c:pt>
                <c:pt idx="5">
                  <c:v>Office Chair</c:v>
                </c:pt>
                <c:pt idx="6">
                  <c:v>Headphones</c:v>
                </c:pt>
                <c:pt idx="7">
                  <c:v>Backpack</c:v>
                </c:pt>
                <c:pt idx="8">
                  <c:v>Keyboard</c:v>
                </c:pt>
                <c:pt idx="9">
                  <c:v>Mouse</c:v>
                </c:pt>
              </c:strCache>
            </c:strRef>
          </c:cat>
          <c:val>
            <c:numRef>
              <c:f>Pivots!$G$17:$G$26</c:f>
              <c:numCache>
                <c:formatCode>General</c:formatCode>
                <c:ptCount val="10"/>
                <c:pt idx="0">
                  <c:v>1012580</c:v>
                </c:pt>
                <c:pt idx="1">
                  <c:v>404870</c:v>
                </c:pt>
                <c:pt idx="2">
                  <c:v>311833</c:v>
                </c:pt>
                <c:pt idx="3">
                  <c:v>417141</c:v>
                </c:pt>
                <c:pt idx="4">
                  <c:v>192338</c:v>
                </c:pt>
                <c:pt idx="5">
                  <c:v>146973</c:v>
                </c:pt>
                <c:pt idx="6">
                  <c:v>107305</c:v>
                </c:pt>
                <c:pt idx="7">
                  <c:v>66908</c:v>
                </c:pt>
                <c:pt idx="8">
                  <c:v>44000</c:v>
                </c:pt>
                <c:pt idx="9">
                  <c:v>43071</c:v>
                </c:pt>
              </c:numCache>
            </c:numRef>
          </c:val>
          <c:extLst>
            <c:ext xmlns:c16="http://schemas.microsoft.com/office/drawing/2014/chart" uri="{C3380CC4-5D6E-409C-BE32-E72D297353CC}">
              <c16:uniqueId val="{00000001-5579-42E6-A143-716F930687BE}"/>
            </c:ext>
          </c:extLst>
        </c:ser>
        <c:dLbls>
          <c:showLegendKey val="0"/>
          <c:showVal val="0"/>
          <c:showCatName val="0"/>
          <c:showSerName val="0"/>
          <c:showPercent val="0"/>
          <c:showBubbleSize val="0"/>
        </c:dLbls>
        <c:gapWidth val="182"/>
        <c:axId val="1439407471"/>
        <c:axId val="1329963295"/>
      </c:barChart>
      <c:catAx>
        <c:axId val="1439407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963295"/>
        <c:crosses val="autoZero"/>
        <c:auto val="1"/>
        <c:lblAlgn val="ctr"/>
        <c:lblOffset val="100"/>
        <c:noMultiLvlLbl val="0"/>
      </c:catAx>
      <c:valAx>
        <c:axId val="1329963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407471"/>
        <c:crosses val="autoZero"/>
        <c:crossBetween val="between"/>
      </c:valAx>
      <c:spPr>
        <a:noFill/>
        <a:ln>
          <a:noFill/>
        </a:ln>
        <a:effectLst/>
      </c:spPr>
    </c:plotArea>
    <c:legend>
      <c:legendPos val="l"/>
      <c:layout>
        <c:manualLayout>
          <c:xMode val="edge"/>
          <c:yMode val="edge"/>
          <c:x val="1.5625E-2"/>
          <c:y val="2.32640665559441E-2"/>
          <c:w val="0.39516989606574837"/>
          <c:h val="0.102900177983432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0</xdr:rowOff>
    </xdr:from>
    <xdr:to>
      <xdr:col>5</xdr:col>
      <xdr:colOff>590550</xdr:colOff>
      <xdr:row>19</xdr:row>
      <xdr:rowOff>171450</xdr:rowOff>
    </xdr:to>
    <xdr:graphicFrame macro="">
      <xdr:nvGraphicFramePr>
        <xdr:cNvPr id="3" name="Chart 2">
          <a:extLst>
            <a:ext uri="{FF2B5EF4-FFF2-40B4-BE49-F238E27FC236}">
              <a16:creationId xmlns:a16="http://schemas.microsoft.com/office/drawing/2014/main" id="{CEEC2CCA-B647-4208-9069-8C4DEC0EDB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xdr:colOff>
      <xdr:row>7</xdr:row>
      <xdr:rowOff>19050</xdr:rowOff>
    </xdr:from>
    <xdr:to>
      <xdr:col>12</xdr:col>
      <xdr:colOff>603250</xdr:colOff>
      <xdr:row>20</xdr:row>
      <xdr:rowOff>0</xdr:rowOff>
    </xdr:to>
    <xdr:graphicFrame macro="">
      <xdr:nvGraphicFramePr>
        <xdr:cNvPr id="4" name="Chart 2">
          <a:extLst>
            <a:ext uri="{FF2B5EF4-FFF2-40B4-BE49-F238E27FC236}">
              <a16:creationId xmlns:a16="http://schemas.microsoft.com/office/drawing/2014/main" id="{17CF66BA-E66F-4447-87D8-4F403CC510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6351</xdr:colOff>
      <xdr:row>21</xdr:row>
      <xdr:rowOff>12700</xdr:rowOff>
    </xdr:from>
    <xdr:to>
      <xdr:col>5</xdr:col>
      <xdr:colOff>590551</xdr:colOff>
      <xdr:row>34</xdr:row>
      <xdr:rowOff>6350</xdr:rowOff>
    </xdr:to>
    <xdr:graphicFrame macro="">
      <xdr:nvGraphicFramePr>
        <xdr:cNvPr id="5" name="Chart 3">
          <a:extLst>
            <a:ext uri="{FF2B5EF4-FFF2-40B4-BE49-F238E27FC236}">
              <a16:creationId xmlns:a16="http://schemas.microsoft.com/office/drawing/2014/main" id="{F15ABD6A-BAD7-4F4B-89A9-E07D1BA86D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7056</xdr:colOff>
      <xdr:row>21</xdr:row>
      <xdr:rowOff>31750</xdr:rowOff>
    </xdr:from>
    <xdr:to>
      <xdr:col>13</xdr:col>
      <xdr:colOff>7056</xdr:colOff>
      <xdr:row>34</xdr:row>
      <xdr:rowOff>0</xdr:rowOff>
    </xdr:to>
    <xdr:graphicFrame macro="">
      <xdr:nvGraphicFramePr>
        <xdr:cNvPr id="6" name="Chart 5">
          <a:extLst>
            <a:ext uri="{FF2B5EF4-FFF2-40B4-BE49-F238E27FC236}">
              <a16:creationId xmlns:a16="http://schemas.microsoft.com/office/drawing/2014/main" id="{10E7524A-202C-4A02-9E13-0EE1CAF7C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0</xdr:colOff>
      <xdr:row>1</xdr:row>
      <xdr:rowOff>0</xdr:rowOff>
    </xdr:from>
    <xdr:to>
      <xdr:col>16</xdr:col>
      <xdr:colOff>76200</xdr:colOff>
      <xdr:row>14</xdr:row>
      <xdr:rowOff>149225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8CA4B663-B540-49BF-8171-C740529F3D7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593667" y="391583"/>
              <a:ext cx="1303866" cy="25093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88900</xdr:colOff>
      <xdr:row>1</xdr:row>
      <xdr:rowOff>0</xdr:rowOff>
    </xdr:from>
    <xdr:to>
      <xdr:col>18</xdr:col>
      <xdr:colOff>203200</xdr:colOff>
      <xdr:row>14</xdr:row>
      <xdr:rowOff>152400</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33C1C384-ED97-41C2-968E-CE300683A8A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910233" y="391583"/>
              <a:ext cx="1341967" cy="25124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03.408045601849" createdVersion="6" refreshedVersion="6" minRefreshableVersion="3" recordCount="150" xr:uid="{E8FD6E19-4CC2-40A6-A7E8-74A2FA436E80}">
  <cacheSource type="worksheet">
    <worksheetSource name="SalesData"/>
  </cacheSource>
  <cacheFields count="13">
    <cacheField name="Order ID" numFmtId="0">
      <sharedItems/>
    </cacheField>
    <cacheField name="Date" numFmtId="166">
      <sharedItems containsSemiMixedTypes="0" containsNonDate="0" containsDate="1" containsString="0" minDate="2026-01-01T00:00:00" maxDate="2026-10-01T00:00:00" count="150">
        <d v="2026-01-01T00:00:00"/>
        <d v="2026-01-02T19:48:43"/>
        <d v="2026-01-04T15:37:27"/>
        <d v="2026-01-06T11:26:10"/>
        <d v="2026-01-08T07:14:54"/>
        <d v="2026-01-10T03:03:37"/>
        <d v="2026-01-11T22:52:21"/>
        <d v="2026-01-13T18:41:04"/>
        <d v="2026-01-15T14:29:48"/>
        <d v="2026-01-17T10:18:31"/>
        <d v="2026-01-19T06:07:15"/>
        <d v="2026-01-21T01:55:58"/>
        <d v="2026-01-22T21:44:42"/>
        <d v="2026-01-24T17:33:25"/>
        <d v="2026-01-26T13:22:09"/>
        <d v="2026-01-28T09:10:52"/>
        <d v="2026-01-30T04:59:36"/>
        <d v="2026-02-01T00:48:19"/>
        <d v="2026-02-02T20:37:03"/>
        <d v="2026-02-04T16:25:46"/>
        <d v="2026-02-06T12:14:30"/>
        <d v="2026-02-08T08:03:13"/>
        <d v="2026-02-10T03:51:57"/>
        <d v="2026-02-11T23:40:40"/>
        <d v="2026-02-13T19:29:24"/>
        <d v="2026-02-15T15:18:07"/>
        <d v="2026-02-17T11:06:51"/>
        <d v="2026-02-19T06:55:34"/>
        <d v="2026-02-21T02:44:18"/>
        <d v="2026-02-22T22:33:01"/>
        <d v="2026-02-24T18:21:45"/>
        <d v="2026-02-26T14:10:28"/>
        <d v="2026-02-28T09:59:12"/>
        <d v="2026-03-02T05:47:55"/>
        <d v="2026-03-04T01:36:39"/>
        <d v="2026-03-05T21:25:22"/>
        <d v="2026-03-07T17:14:06"/>
        <d v="2026-03-09T13:02:49"/>
        <d v="2026-03-11T08:51:33"/>
        <d v="2026-03-13T04:40:16"/>
        <d v="2026-03-15T00:29:00"/>
        <d v="2026-03-16T20:17:43"/>
        <d v="2026-03-18T16:06:27"/>
        <d v="2026-03-20T11:55:10"/>
        <d v="2026-03-22T07:43:54"/>
        <d v="2026-03-24T03:32:37"/>
        <d v="2026-03-25T23:21:21"/>
        <d v="2026-03-27T19:10:04"/>
        <d v="2026-03-29T14:58:48"/>
        <d v="2026-03-31T10:47:31"/>
        <d v="2026-04-02T06:36:14"/>
        <d v="2026-04-04T02:24:58"/>
        <d v="2026-04-05T22:13:41"/>
        <d v="2026-04-07T18:02:25"/>
        <d v="2026-04-09T13:51:08"/>
        <d v="2026-04-11T09:39:52"/>
        <d v="2026-04-13T05:28:35"/>
        <d v="2026-04-15T01:17:19"/>
        <d v="2026-04-16T21:06:02"/>
        <d v="2026-04-18T16:54:46"/>
        <d v="2026-04-20T12:43:29"/>
        <d v="2026-04-22T08:32:13"/>
        <d v="2026-04-24T04:20:56"/>
        <d v="2026-04-26T00:09:40"/>
        <d v="2026-04-27T19:58:23"/>
        <d v="2026-04-29T15:47:07"/>
        <d v="2026-05-01T11:35:50"/>
        <d v="2026-05-03T07:24:34"/>
        <d v="2026-05-05T03:13:17"/>
        <d v="2026-05-06T23:02:01"/>
        <d v="2026-05-08T18:50:44"/>
        <d v="2026-05-10T14:39:28"/>
        <d v="2026-05-12T10:28:11"/>
        <d v="2026-05-14T06:16:55"/>
        <d v="2026-05-16T02:05:38"/>
        <d v="2026-05-17T21:54:22"/>
        <d v="2026-05-19T17:43:05"/>
        <d v="2026-05-21T13:31:49"/>
        <d v="2026-05-23T09:20:32"/>
        <d v="2026-05-25T05:09:16"/>
        <d v="2026-05-27T00:57:59"/>
        <d v="2026-05-28T20:46:43"/>
        <d v="2026-05-30T16:35:26"/>
        <d v="2026-06-01T12:24:10"/>
        <d v="2026-06-03T08:12:53"/>
        <d v="2026-06-05T04:01:37"/>
        <d v="2026-06-06T23:50:20"/>
        <d v="2026-06-08T19:39:04"/>
        <d v="2026-06-10T15:27:47"/>
        <d v="2026-06-12T11:16:31"/>
        <d v="2026-06-14T07:05:14"/>
        <d v="2026-06-16T02:53:58"/>
        <d v="2026-06-17T22:42:41"/>
        <d v="2026-06-19T18:31:25"/>
        <d v="2026-06-21T14:20:08"/>
        <d v="2026-06-23T10:08:52"/>
        <d v="2026-06-25T05:57:35"/>
        <d v="2026-06-27T01:46:19"/>
        <d v="2026-06-28T21:35:02"/>
        <d v="2026-06-30T17:23:46"/>
        <d v="2026-07-02T13:12:29"/>
        <d v="2026-07-04T09:01:12"/>
        <d v="2026-07-06T04:49:56"/>
        <d v="2026-07-08T00:38:39"/>
        <d v="2026-07-09T20:27:23"/>
        <d v="2026-07-11T16:16:06"/>
        <d v="2026-07-13T12:04:50"/>
        <d v="2026-07-15T07:53:33"/>
        <d v="2026-07-17T03:42:17"/>
        <d v="2026-07-18T23:31:00"/>
        <d v="2026-07-20T19:19:44"/>
        <d v="2026-07-22T15:08:27"/>
        <d v="2026-07-24T10:57:11"/>
        <d v="2026-07-26T06:45:54"/>
        <d v="2026-07-28T02:34:38"/>
        <d v="2026-07-29T22:23:21"/>
        <d v="2026-07-31T18:12:05"/>
        <d v="2026-08-02T14:00:48"/>
        <d v="2026-08-04T09:49:32"/>
        <d v="2026-08-06T05:38:15"/>
        <d v="2026-08-08T01:26:59"/>
        <d v="2026-08-09T21:15:42"/>
        <d v="2026-08-11T17:04:26"/>
        <d v="2026-08-13T12:53:09"/>
        <d v="2026-08-15T08:41:53"/>
        <d v="2026-08-17T04:30:36"/>
        <d v="2026-08-19T00:19:20"/>
        <d v="2026-08-20T20:08:03"/>
        <d v="2026-08-22T15:56:47"/>
        <d v="2026-08-24T11:45:30"/>
        <d v="2026-08-26T07:34:14"/>
        <d v="2026-08-28T03:22:57"/>
        <d v="2026-08-29T23:11:41"/>
        <d v="2026-08-31T19:00:24"/>
        <d v="2026-09-02T14:49:08"/>
        <d v="2026-09-04T10:37:51"/>
        <d v="2026-09-06T06:26:35"/>
        <d v="2026-09-08T02:15:18"/>
        <d v="2026-09-09T22:04:02"/>
        <d v="2026-09-11T17:52:45"/>
        <d v="2026-09-13T13:41:29"/>
        <d v="2026-09-15T09:30:12"/>
        <d v="2026-09-17T05:18:56"/>
        <d v="2026-09-19T01:07:39"/>
        <d v="2026-09-20T20:56:23"/>
        <d v="2026-09-22T16:45:06"/>
        <d v="2026-09-24T12:33:50"/>
        <d v="2026-09-26T08:22:33"/>
        <d v="2026-09-28T04:11:17"/>
        <d v="2026-09-30T00:00:00"/>
      </sharedItems>
      <fieldGroup par="12" base="1">
        <rangePr groupBy="days" startDate="2026-01-01T00:00:00" endDate="2026-10-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10-2026"/>
        </groupItems>
      </fieldGroup>
    </cacheField>
    <cacheField name="Product" numFmtId="0">
      <sharedItems count="10">
        <s v="Monitor"/>
        <s v="Office Chair"/>
        <s v="Backpack"/>
        <s v="Tablet"/>
        <s v="Headphones"/>
        <s v="Smartphone"/>
        <s v="Keyboard"/>
        <s v="Mouse"/>
        <s v="Laptop"/>
        <s v="Desk"/>
      </sharedItems>
    </cacheField>
    <cacheField name="Category" numFmtId="0">
      <sharedItems count="3">
        <s v="Electronics"/>
        <s v="Furniture"/>
        <s v="Accessories"/>
      </sharedItems>
    </cacheField>
    <cacheField name="Region" numFmtId="0">
      <sharedItems count="4">
        <s v="West"/>
        <s v="North"/>
        <s v="South"/>
        <s v="East"/>
      </sharedItems>
    </cacheField>
    <cacheField name="Units Sold" numFmtId="0">
      <sharedItems containsSemiMixedTypes="0" containsString="0" containsNumber="1" containsInteger="1" minValue="1" maxValue="8"/>
    </cacheField>
    <cacheField name="Unit Price" numFmtId="164">
      <sharedItems containsSemiMixedTypes="0" containsString="0" containsNumber="1" containsInteger="1" minValue="1118" maxValue="59080"/>
    </cacheField>
    <cacheField name="Unit Cost" numFmtId="164">
      <sharedItems containsSemiMixedTypes="0" containsString="0" containsNumber="1" containsInteger="1" minValue="615" maxValue="45425"/>
    </cacheField>
    <cacheField name="Revenue" numFmtId="164">
      <sharedItems containsSemiMixedTypes="0" containsString="0" containsNumber="1" containsInteger="1" minValue="2302" maxValue="471008"/>
    </cacheField>
    <cacheField name="Cost" numFmtId="164">
      <sharedItems containsSemiMixedTypes="0" containsString="0" containsNumber="1" containsInteger="1" minValue="1308" maxValue="362736"/>
    </cacheField>
    <cacheField name="Profit" numFmtId="164">
      <sharedItems containsSemiMixedTypes="0" containsString="0" containsNumber="1" containsInteger="1" minValue="849" maxValue="132680"/>
    </cacheField>
    <cacheField name="Profit Margin" numFmtId="165">
      <sharedItems containsSemiMixedTypes="0" containsString="0" containsNumber="1" minValue="0.13317951990574839" maxValue="0.5029673590504451"/>
    </cacheField>
    <cacheField name="Months" numFmtId="0" databaseField="0">
      <fieldGroup base="1">
        <rangePr groupBy="months" startDate="2026-01-01T00:00:00" endDate="2026-10-01T00:00:00"/>
        <groupItems count="14">
          <s v="&lt;01-01-2026"/>
          <s v="Jan"/>
          <s v="Feb"/>
          <s v="Mar"/>
          <s v="Apr"/>
          <s v="May"/>
          <s v="Jun"/>
          <s v="Jul"/>
          <s v="Aug"/>
          <s v="Sep"/>
          <s v="Oct"/>
          <s v="Nov"/>
          <s v="Dec"/>
          <s v="&gt;01-10-2026"/>
        </groupItems>
      </fieldGroup>
    </cacheField>
  </cacheFields>
  <extLst>
    <ext xmlns:x14="http://schemas.microsoft.com/office/spreadsheetml/2009/9/main" uri="{725AE2AE-9491-48be-B2B4-4EB974FC3084}">
      <x14:pivotCacheDefinition pivotCacheId="12175706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ORD001"/>
    <x v="0"/>
    <x v="0"/>
    <x v="0"/>
    <x v="0"/>
    <n v="4"/>
    <n v="16594"/>
    <n v="11636"/>
    <n v="66376"/>
    <n v="46544"/>
    <n v="19832"/>
    <n v="0.29878269253947209"/>
  </r>
  <r>
    <s v="ORD002"/>
    <x v="1"/>
    <x v="0"/>
    <x v="0"/>
    <x v="1"/>
    <n v="2"/>
    <n v="14869"/>
    <n v="12005"/>
    <n v="29738"/>
    <n v="24010"/>
    <n v="5728"/>
    <n v="0.1926155087766494"/>
  </r>
  <r>
    <s v="ORD003"/>
    <x v="2"/>
    <x v="1"/>
    <x v="1"/>
    <x v="0"/>
    <n v="8"/>
    <n v="7848"/>
    <n v="6127"/>
    <n v="62784"/>
    <n v="49016"/>
    <n v="13768"/>
    <n v="0.21929153924566769"/>
  </r>
  <r>
    <s v="ORD004"/>
    <x v="3"/>
    <x v="2"/>
    <x v="2"/>
    <x v="1"/>
    <n v="2"/>
    <n v="1709"/>
    <n v="977"/>
    <n v="3418"/>
    <n v="1954"/>
    <n v="1464"/>
    <n v="0.42832065535400821"/>
  </r>
  <r>
    <s v="ORD005"/>
    <x v="4"/>
    <x v="2"/>
    <x v="2"/>
    <x v="2"/>
    <n v="5"/>
    <n v="1740"/>
    <n v="1013"/>
    <n v="8700"/>
    <n v="5065"/>
    <n v="3635"/>
    <n v="0.41781609195402297"/>
  </r>
  <r>
    <s v="ORD006"/>
    <x v="5"/>
    <x v="3"/>
    <x v="0"/>
    <x v="2"/>
    <n v="8"/>
    <n v="21530"/>
    <n v="16910"/>
    <n v="172240"/>
    <n v="135280"/>
    <n v="36960"/>
    <n v="0.2145843009753832"/>
  </r>
  <r>
    <s v="ORD007"/>
    <x v="6"/>
    <x v="4"/>
    <x v="0"/>
    <x v="3"/>
    <n v="4"/>
    <n v="3552"/>
    <n v="2080"/>
    <n v="14208"/>
    <n v="8320"/>
    <n v="5888"/>
    <n v="0.4144144144144144"/>
  </r>
  <r>
    <s v="ORD008"/>
    <x v="7"/>
    <x v="4"/>
    <x v="0"/>
    <x v="1"/>
    <n v="7"/>
    <n v="3256"/>
    <n v="2319"/>
    <n v="22792"/>
    <n v="16233"/>
    <n v="6559"/>
    <n v="0.28777641277641269"/>
  </r>
  <r>
    <s v="ORD009"/>
    <x v="8"/>
    <x v="5"/>
    <x v="0"/>
    <x v="2"/>
    <n v="2"/>
    <n v="26198"/>
    <n v="22486"/>
    <n v="52396"/>
    <n v="44972"/>
    <n v="7424"/>
    <n v="0.14169020535918769"/>
  </r>
  <r>
    <s v="ORD010"/>
    <x v="9"/>
    <x v="0"/>
    <x v="0"/>
    <x v="2"/>
    <n v="4"/>
    <n v="14808"/>
    <n v="12065"/>
    <n v="59232"/>
    <n v="48260"/>
    <n v="10972"/>
    <n v="0.1852377093462993"/>
  </r>
  <r>
    <s v="ORD011"/>
    <x v="10"/>
    <x v="1"/>
    <x v="1"/>
    <x v="3"/>
    <n v="2"/>
    <n v="8244"/>
    <n v="5814"/>
    <n v="16488"/>
    <n v="11628"/>
    <n v="4860"/>
    <n v="0.29475982532751088"/>
  </r>
  <r>
    <s v="ORD012"/>
    <x v="11"/>
    <x v="3"/>
    <x v="0"/>
    <x v="1"/>
    <n v="4"/>
    <n v="23653"/>
    <n v="17561"/>
    <n v="94612"/>
    <n v="70244"/>
    <n v="24368"/>
    <n v="0.25755718090728452"/>
  </r>
  <r>
    <s v="ORD013"/>
    <x v="12"/>
    <x v="5"/>
    <x v="0"/>
    <x v="0"/>
    <n v="2"/>
    <n v="28439"/>
    <n v="23114"/>
    <n v="56878"/>
    <n v="46228"/>
    <n v="10650"/>
    <n v="0.18724287070572099"/>
  </r>
  <r>
    <s v="ORD014"/>
    <x v="13"/>
    <x v="6"/>
    <x v="2"/>
    <x v="1"/>
    <n v="6"/>
    <n v="2318"/>
    <n v="1371"/>
    <n v="13908"/>
    <n v="8226"/>
    <n v="5682"/>
    <n v="0.408541846419327"/>
  </r>
  <r>
    <s v="ORD015"/>
    <x v="14"/>
    <x v="5"/>
    <x v="0"/>
    <x v="0"/>
    <n v="7"/>
    <n v="27358"/>
    <n v="21422"/>
    <n v="191506"/>
    <n v="149954"/>
    <n v="41552"/>
    <n v="0.21697492506762189"/>
  </r>
  <r>
    <s v="ORD016"/>
    <x v="15"/>
    <x v="7"/>
    <x v="2"/>
    <x v="0"/>
    <n v="5"/>
    <n v="1118"/>
    <n v="688"/>
    <n v="5590"/>
    <n v="3440"/>
    <n v="2150"/>
    <n v="0.38461538461538458"/>
  </r>
  <r>
    <s v="ORD017"/>
    <x v="16"/>
    <x v="6"/>
    <x v="2"/>
    <x v="1"/>
    <n v="1"/>
    <n v="2302"/>
    <n v="1453"/>
    <n v="2302"/>
    <n v="1453"/>
    <n v="849"/>
    <n v="0.36880973066898348"/>
  </r>
  <r>
    <s v="ORD018"/>
    <x v="17"/>
    <x v="8"/>
    <x v="0"/>
    <x v="0"/>
    <n v="8"/>
    <n v="57387"/>
    <n v="40802"/>
    <n v="459096"/>
    <n v="326416"/>
    <n v="132680"/>
    <n v="0.28900273581124652"/>
  </r>
  <r>
    <s v="ORD019"/>
    <x v="18"/>
    <x v="0"/>
    <x v="0"/>
    <x v="1"/>
    <n v="2"/>
    <n v="16930"/>
    <n v="11670"/>
    <n v="33860"/>
    <n v="23340"/>
    <n v="10520"/>
    <n v="0.31069108092144121"/>
  </r>
  <r>
    <s v="ORD020"/>
    <x v="19"/>
    <x v="5"/>
    <x v="0"/>
    <x v="1"/>
    <n v="1"/>
    <n v="27153"/>
    <n v="21538"/>
    <n v="27153"/>
    <n v="21538"/>
    <n v="5615"/>
    <n v="0.20679114646632049"/>
  </r>
  <r>
    <s v="ORD021"/>
    <x v="20"/>
    <x v="4"/>
    <x v="0"/>
    <x v="3"/>
    <n v="4"/>
    <n v="3717"/>
    <n v="2193"/>
    <n v="14868"/>
    <n v="8772"/>
    <n v="6096"/>
    <n v="0.41000807102502018"/>
  </r>
  <r>
    <s v="ORD022"/>
    <x v="21"/>
    <x v="9"/>
    <x v="1"/>
    <x v="0"/>
    <n v="7"/>
    <n v="12501"/>
    <n v="8260"/>
    <n v="87507"/>
    <n v="57820"/>
    <n v="29687"/>
    <n v="0.33925285977121827"/>
  </r>
  <r>
    <s v="ORD023"/>
    <x v="22"/>
    <x v="0"/>
    <x v="0"/>
    <x v="3"/>
    <n v="3"/>
    <n v="15815"/>
    <n v="10845"/>
    <n v="47445"/>
    <n v="32535"/>
    <n v="14910"/>
    <n v="0.31425861523869741"/>
  </r>
  <r>
    <s v="ORD024"/>
    <x v="23"/>
    <x v="4"/>
    <x v="0"/>
    <x v="0"/>
    <n v="7"/>
    <n v="3486"/>
    <n v="2217"/>
    <n v="24402"/>
    <n v="15519"/>
    <n v="8883"/>
    <n v="0.36402753872633392"/>
  </r>
  <r>
    <s v="ORD025"/>
    <x v="24"/>
    <x v="1"/>
    <x v="1"/>
    <x v="1"/>
    <n v="6"/>
    <n v="8642"/>
    <n v="5828"/>
    <n v="51852"/>
    <n v="34968"/>
    <n v="16884"/>
    <n v="0.32561906965980097"/>
  </r>
  <r>
    <s v="ORD026"/>
    <x v="25"/>
    <x v="1"/>
    <x v="1"/>
    <x v="1"/>
    <n v="5"/>
    <n v="8214"/>
    <n v="5564"/>
    <n v="41070"/>
    <n v="27820"/>
    <n v="13250"/>
    <n v="0.32261991721451178"/>
  </r>
  <r>
    <s v="ORD027"/>
    <x v="26"/>
    <x v="5"/>
    <x v="0"/>
    <x v="0"/>
    <n v="2"/>
    <n v="28598"/>
    <n v="22981"/>
    <n v="57196"/>
    <n v="45962"/>
    <n v="11234"/>
    <n v="0.19641233652702991"/>
  </r>
  <r>
    <s v="ORD028"/>
    <x v="27"/>
    <x v="1"/>
    <x v="1"/>
    <x v="0"/>
    <n v="6"/>
    <n v="8261"/>
    <n v="5537"/>
    <n v="49566"/>
    <n v="33222"/>
    <n v="16344"/>
    <n v="0.3297421619658637"/>
  </r>
  <r>
    <s v="ORD029"/>
    <x v="28"/>
    <x v="7"/>
    <x v="2"/>
    <x v="0"/>
    <n v="7"/>
    <n v="1156"/>
    <n v="662"/>
    <n v="8092"/>
    <n v="4634"/>
    <n v="3458"/>
    <n v="0.4273356401384083"/>
  </r>
  <r>
    <s v="ORD030"/>
    <x v="29"/>
    <x v="7"/>
    <x v="2"/>
    <x v="2"/>
    <n v="4"/>
    <n v="1163"/>
    <n v="624"/>
    <n v="4652"/>
    <n v="2496"/>
    <n v="2156"/>
    <n v="0.46345657781599309"/>
  </r>
  <r>
    <s v="ORD031"/>
    <x v="30"/>
    <x v="7"/>
    <x v="2"/>
    <x v="2"/>
    <n v="6"/>
    <n v="1127"/>
    <n v="637"/>
    <n v="6762"/>
    <n v="3822"/>
    <n v="2940"/>
    <n v="0.43478260869565222"/>
  </r>
  <r>
    <s v="ORD032"/>
    <x v="31"/>
    <x v="2"/>
    <x v="2"/>
    <x v="3"/>
    <n v="8"/>
    <n v="1858"/>
    <n v="984"/>
    <n v="14864"/>
    <n v="7872"/>
    <n v="6992"/>
    <n v="0.47039827771797632"/>
  </r>
  <r>
    <s v="ORD033"/>
    <x v="32"/>
    <x v="8"/>
    <x v="0"/>
    <x v="0"/>
    <n v="2"/>
    <n v="52816"/>
    <n v="42986"/>
    <n v="105632"/>
    <n v="85972"/>
    <n v="19660"/>
    <n v="0.1861178430778552"/>
  </r>
  <r>
    <s v="ORD034"/>
    <x v="33"/>
    <x v="8"/>
    <x v="0"/>
    <x v="2"/>
    <n v="5"/>
    <n v="50925"/>
    <n v="43565"/>
    <n v="254625"/>
    <n v="217825"/>
    <n v="36800"/>
    <n v="0.14452626411389299"/>
  </r>
  <r>
    <s v="ORD035"/>
    <x v="34"/>
    <x v="5"/>
    <x v="0"/>
    <x v="1"/>
    <n v="4"/>
    <n v="27008"/>
    <n v="23078"/>
    <n v="108032"/>
    <n v="92312"/>
    <n v="15720"/>
    <n v="0.14551244075829381"/>
  </r>
  <r>
    <s v="ORD036"/>
    <x v="35"/>
    <x v="4"/>
    <x v="0"/>
    <x v="1"/>
    <n v="6"/>
    <n v="3494"/>
    <n v="2328"/>
    <n v="20964"/>
    <n v="13968"/>
    <n v="6996"/>
    <n v="0.33371493989696621"/>
  </r>
  <r>
    <s v="ORD037"/>
    <x v="36"/>
    <x v="0"/>
    <x v="0"/>
    <x v="1"/>
    <n v="4"/>
    <n v="15666"/>
    <n v="11144"/>
    <n v="62664"/>
    <n v="44576"/>
    <n v="18088"/>
    <n v="0.28865058087578188"/>
  </r>
  <r>
    <s v="ORD038"/>
    <x v="37"/>
    <x v="2"/>
    <x v="2"/>
    <x v="2"/>
    <n v="8"/>
    <n v="1939"/>
    <n v="988"/>
    <n v="15512"/>
    <n v="7904"/>
    <n v="7608"/>
    <n v="0.49045899948427019"/>
  </r>
  <r>
    <s v="ORD039"/>
    <x v="38"/>
    <x v="8"/>
    <x v="0"/>
    <x v="2"/>
    <n v="1"/>
    <n v="52241"/>
    <n v="40630"/>
    <n v="52241"/>
    <n v="40630"/>
    <n v="11611"/>
    <n v="0.2222583794337781"/>
  </r>
  <r>
    <s v="ORD040"/>
    <x v="39"/>
    <x v="1"/>
    <x v="1"/>
    <x v="3"/>
    <n v="4"/>
    <n v="7843"/>
    <n v="5808"/>
    <n v="31372"/>
    <n v="23232"/>
    <n v="8140"/>
    <n v="0.2594670406732118"/>
  </r>
  <r>
    <s v="ORD041"/>
    <x v="40"/>
    <x v="4"/>
    <x v="0"/>
    <x v="3"/>
    <n v="4"/>
    <n v="3318"/>
    <n v="2250"/>
    <n v="13272"/>
    <n v="9000"/>
    <n v="4272"/>
    <n v="0.32188065099457502"/>
  </r>
  <r>
    <s v="ORD042"/>
    <x v="41"/>
    <x v="0"/>
    <x v="0"/>
    <x v="0"/>
    <n v="2"/>
    <n v="16450"/>
    <n v="11825"/>
    <n v="32900"/>
    <n v="23650"/>
    <n v="9250"/>
    <n v="0.28115501519756841"/>
  </r>
  <r>
    <s v="ORD043"/>
    <x v="42"/>
    <x v="5"/>
    <x v="0"/>
    <x v="3"/>
    <n v="7"/>
    <n v="28877"/>
    <n v="21283"/>
    <n v="202139"/>
    <n v="148981"/>
    <n v="53158"/>
    <n v="0.26297745610693629"/>
  </r>
  <r>
    <s v="ORD044"/>
    <x v="43"/>
    <x v="3"/>
    <x v="0"/>
    <x v="3"/>
    <n v="8"/>
    <n v="22104"/>
    <n v="16473"/>
    <n v="176832"/>
    <n v="131784"/>
    <n v="45048"/>
    <n v="0.25475027144408252"/>
  </r>
  <r>
    <s v="ORD045"/>
    <x v="44"/>
    <x v="9"/>
    <x v="1"/>
    <x v="0"/>
    <n v="5"/>
    <n v="11402"/>
    <n v="7982"/>
    <n v="57010"/>
    <n v="39910"/>
    <n v="17100"/>
    <n v="0.2999473776530433"/>
  </r>
  <r>
    <s v="ORD046"/>
    <x v="45"/>
    <x v="4"/>
    <x v="0"/>
    <x v="0"/>
    <n v="8"/>
    <n v="3700"/>
    <n v="2175"/>
    <n v="29600"/>
    <n v="17400"/>
    <n v="12200"/>
    <n v="0.41216216216216223"/>
  </r>
  <r>
    <s v="ORD047"/>
    <x v="46"/>
    <x v="8"/>
    <x v="0"/>
    <x v="0"/>
    <n v="8"/>
    <n v="58834"/>
    <n v="44472"/>
    <n v="470672"/>
    <n v="355776"/>
    <n v="114896"/>
    <n v="0.24411054832239859"/>
  </r>
  <r>
    <s v="ORD048"/>
    <x v="47"/>
    <x v="6"/>
    <x v="2"/>
    <x v="3"/>
    <n v="4"/>
    <n v="2449"/>
    <n v="1474"/>
    <n v="9796"/>
    <n v="5896"/>
    <n v="3900"/>
    <n v="0.398121682319314"/>
  </r>
  <r>
    <s v="ORD049"/>
    <x v="48"/>
    <x v="7"/>
    <x v="2"/>
    <x v="2"/>
    <n v="5"/>
    <n v="1163"/>
    <n v="649"/>
    <n v="5815"/>
    <n v="3245"/>
    <n v="2570"/>
    <n v="0.44196044711951848"/>
  </r>
  <r>
    <s v="ORD050"/>
    <x v="49"/>
    <x v="4"/>
    <x v="0"/>
    <x v="0"/>
    <n v="8"/>
    <n v="3319"/>
    <n v="2073"/>
    <n v="26552"/>
    <n v="16584"/>
    <n v="9968"/>
    <n v="0.37541428141006328"/>
  </r>
  <r>
    <s v="ORD051"/>
    <x v="50"/>
    <x v="9"/>
    <x v="1"/>
    <x v="0"/>
    <n v="8"/>
    <n v="12287"/>
    <n v="8544"/>
    <n v="98296"/>
    <n v="68352"/>
    <n v="29944"/>
    <n v="0.30463091071864568"/>
  </r>
  <r>
    <s v="ORD052"/>
    <x v="51"/>
    <x v="8"/>
    <x v="0"/>
    <x v="3"/>
    <n v="8"/>
    <n v="51424"/>
    <n v="42317"/>
    <n v="411392"/>
    <n v="338536"/>
    <n v="72856"/>
    <n v="0.17709629744866209"/>
  </r>
  <r>
    <s v="ORD053"/>
    <x v="52"/>
    <x v="0"/>
    <x v="0"/>
    <x v="2"/>
    <n v="6"/>
    <n v="17211"/>
    <n v="11352"/>
    <n v="103266"/>
    <n v="68112"/>
    <n v="35154"/>
    <n v="0.34042182325257098"/>
  </r>
  <r>
    <s v="ORD054"/>
    <x v="53"/>
    <x v="2"/>
    <x v="2"/>
    <x v="3"/>
    <n v="8"/>
    <n v="1885"/>
    <n v="1000"/>
    <n v="15080"/>
    <n v="8000"/>
    <n v="7080"/>
    <n v="0.46949602122015921"/>
  </r>
  <r>
    <s v="ORD055"/>
    <x v="54"/>
    <x v="8"/>
    <x v="0"/>
    <x v="2"/>
    <n v="5"/>
    <n v="54993"/>
    <n v="43372"/>
    <n v="274965"/>
    <n v="216860"/>
    <n v="58105"/>
    <n v="0.21131780408415621"/>
  </r>
  <r>
    <s v="ORD056"/>
    <x v="55"/>
    <x v="8"/>
    <x v="0"/>
    <x v="1"/>
    <n v="8"/>
    <n v="58876"/>
    <n v="45342"/>
    <n v="471008"/>
    <n v="362736"/>
    <n v="108272"/>
    <n v="0.22987295332563351"/>
  </r>
  <r>
    <s v="ORD057"/>
    <x v="56"/>
    <x v="9"/>
    <x v="1"/>
    <x v="2"/>
    <n v="6"/>
    <n v="11070"/>
    <n v="8621"/>
    <n v="66420"/>
    <n v="51726"/>
    <n v="14694"/>
    <n v="0.22122854561878949"/>
  </r>
  <r>
    <s v="ORD058"/>
    <x v="57"/>
    <x v="8"/>
    <x v="0"/>
    <x v="0"/>
    <n v="6"/>
    <n v="59080"/>
    <n v="44822"/>
    <n v="354480"/>
    <n v="268932"/>
    <n v="85548"/>
    <n v="0.24133378469871361"/>
  </r>
  <r>
    <s v="ORD059"/>
    <x v="58"/>
    <x v="9"/>
    <x v="1"/>
    <x v="0"/>
    <n v="8"/>
    <n v="11648"/>
    <n v="7875"/>
    <n v="93184"/>
    <n v="63000"/>
    <n v="30184"/>
    <n v="0.32391826923076922"/>
  </r>
  <r>
    <s v="ORD060"/>
    <x v="59"/>
    <x v="7"/>
    <x v="2"/>
    <x v="0"/>
    <n v="2"/>
    <n v="1238"/>
    <n v="655"/>
    <n v="2476"/>
    <n v="1310"/>
    <n v="1166"/>
    <n v="0.47092084006462043"/>
  </r>
  <r>
    <s v="ORD061"/>
    <x v="60"/>
    <x v="6"/>
    <x v="2"/>
    <x v="3"/>
    <n v="2"/>
    <n v="2696"/>
    <n v="1340"/>
    <n v="5392"/>
    <n v="2680"/>
    <n v="2712"/>
    <n v="0.5029673590504451"/>
  </r>
  <r>
    <s v="ORD062"/>
    <x v="61"/>
    <x v="3"/>
    <x v="0"/>
    <x v="2"/>
    <n v="2"/>
    <n v="23227"/>
    <n v="16259"/>
    <n v="46454"/>
    <n v="32518"/>
    <n v="13936"/>
    <n v="0.29999569466569082"/>
  </r>
  <r>
    <s v="ORD063"/>
    <x v="62"/>
    <x v="2"/>
    <x v="2"/>
    <x v="3"/>
    <n v="8"/>
    <n v="1741"/>
    <n v="990"/>
    <n v="13928"/>
    <n v="7920"/>
    <n v="6008"/>
    <n v="0.43136128661688677"/>
  </r>
  <r>
    <s v="ORD064"/>
    <x v="63"/>
    <x v="5"/>
    <x v="0"/>
    <x v="3"/>
    <n v="1"/>
    <n v="26126"/>
    <n v="20694"/>
    <n v="26126"/>
    <n v="20694"/>
    <n v="5432"/>
    <n v="0.20791548648855551"/>
  </r>
  <r>
    <s v="ORD065"/>
    <x v="64"/>
    <x v="1"/>
    <x v="1"/>
    <x v="1"/>
    <n v="5"/>
    <n v="7916"/>
    <n v="5728"/>
    <n v="39580"/>
    <n v="28640"/>
    <n v="10940"/>
    <n v="0.27640222334512382"/>
  </r>
  <r>
    <s v="ORD066"/>
    <x v="65"/>
    <x v="4"/>
    <x v="0"/>
    <x v="1"/>
    <n v="7"/>
    <n v="3544"/>
    <n v="2184"/>
    <n v="24808"/>
    <n v="15288"/>
    <n v="9520"/>
    <n v="0.38374717832957111"/>
  </r>
  <r>
    <s v="ORD067"/>
    <x v="66"/>
    <x v="2"/>
    <x v="2"/>
    <x v="2"/>
    <n v="3"/>
    <n v="1812"/>
    <n v="974"/>
    <n v="5436"/>
    <n v="2922"/>
    <n v="2514"/>
    <n v="0.46247240618101543"/>
  </r>
  <r>
    <s v="ORD068"/>
    <x v="67"/>
    <x v="3"/>
    <x v="0"/>
    <x v="1"/>
    <n v="2"/>
    <n v="20371"/>
    <n v="17658"/>
    <n v="40742"/>
    <n v="35316"/>
    <n v="5426"/>
    <n v="0.13317951990574839"/>
  </r>
  <r>
    <s v="ORD069"/>
    <x v="68"/>
    <x v="2"/>
    <x v="2"/>
    <x v="1"/>
    <n v="3"/>
    <n v="1806"/>
    <n v="1032"/>
    <n v="5418"/>
    <n v="3096"/>
    <n v="2322"/>
    <n v="0.42857142857142849"/>
  </r>
  <r>
    <s v="ORD070"/>
    <x v="69"/>
    <x v="9"/>
    <x v="1"/>
    <x v="1"/>
    <n v="7"/>
    <n v="11139"/>
    <n v="8231"/>
    <n v="77973"/>
    <n v="57617"/>
    <n v="20356"/>
    <n v="0.26106472753388987"/>
  </r>
  <r>
    <s v="ORD071"/>
    <x v="70"/>
    <x v="4"/>
    <x v="0"/>
    <x v="1"/>
    <n v="7"/>
    <n v="3294"/>
    <n v="2324"/>
    <n v="23058"/>
    <n v="16268"/>
    <n v="6790"/>
    <n v="0.29447480267152398"/>
  </r>
  <r>
    <s v="ORD072"/>
    <x v="71"/>
    <x v="3"/>
    <x v="0"/>
    <x v="1"/>
    <n v="6"/>
    <n v="21644"/>
    <n v="16864"/>
    <n v="129864"/>
    <n v="101184"/>
    <n v="28680"/>
    <n v="0.22084642395121051"/>
  </r>
  <r>
    <s v="ORD073"/>
    <x v="72"/>
    <x v="3"/>
    <x v="0"/>
    <x v="2"/>
    <n v="7"/>
    <n v="20889"/>
    <n v="16145"/>
    <n v="146223"/>
    <n v="113015"/>
    <n v="33208"/>
    <n v="0.22710517497247351"/>
  </r>
  <r>
    <s v="ORD074"/>
    <x v="73"/>
    <x v="7"/>
    <x v="2"/>
    <x v="2"/>
    <n v="4"/>
    <n v="1137"/>
    <n v="623"/>
    <n v="4548"/>
    <n v="2492"/>
    <n v="2056"/>
    <n v="0.45206684256816182"/>
  </r>
  <r>
    <s v="ORD075"/>
    <x v="74"/>
    <x v="5"/>
    <x v="0"/>
    <x v="3"/>
    <n v="8"/>
    <n v="28961"/>
    <n v="22423"/>
    <n v="231688"/>
    <n v="179384"/>
    <n v="52304"/>
    <n v="0.225751873208798"/>
  </r>
  <r>
    <s v="ORD076"/>
    <x v="75"/>
    <x v="9"/>
    <x v="1"/>
    <x v="0"/>
    <n v="1"/>
    <n v="12457"/>
    <n v="8253"/>
    <n v="12457"/>
    <n v="8253"/>
    <n v="4204"/>
    <n v="0.33748093441438548"/>
  </r>
  <r>
    <s v="ORD077"/>
    <x v="76"/>
    <x v="2"/>
    <x v="2"/>
    <x v="2"/>
    <n v="5"/>
    <n v="1727"/>
    <n v="983"/>
    <n v="8635"/>
    <n v="4915"/>
    <n v="3720"/>
    <n v="0.43080486392588302"/>
  </r>
  <r>
    <s v="ORD078"/>
    <x v="77"/>
    <x v="9"/>
    <x v="1"/>
    <x v="1"/>
    <n v="6"/>
    <n v="11263"/>
    <n v="7753"/>
    <n v="67578"/>
    <n v="46518"/>
    <n v="21060"/>
    <n v="0.31163988280209542"/>
  </r>
  <r>
    <s v="ORD079"/>
    <x v="78"/>
    <x v="8"/>
    <x v="0"/>
    <x v="0"/>
    <n v="6"/>
    <n v="56792"/>
    <n v="42867"/>
    <n v="340752"/>
    <n v="257202"/>
    <n v="83550"/>
    <n v="0.24519298492745459"/>
  </r>
  <r>
    <s v="ORD080"/>
    <x v="79"/>
    <x v="3"/>
    <x v="0"/>
    <x v="2"/>
    <n v="2"/>
    <n v="21907"/>
    <n v="16333"/>
    <n v="43814"/>
    <n v="32666"/>
    <n v="11148"/>
    <n v="0.2544392203405304"/>
  </r>
  <r>
    <s v="ORD081"/>
    <x v="80"/>
    <x v="9"/>
    <x v="1"/>
    <x v="1"/>
    <n v="7"/>
    <n v="12862"/>
    <n v="8580"/>
    <n v="90034"/>
    <n v="60060"/>
    <n v="29974"/>
    <n v="0.33291867516715912"/>
  </r>
  <r>
    <s v="ORD082"/>
    <x v="81"/>
    <x v="1"/>
    <x v="1"/>
    <x v="1"/>
    <n v="7"/>
    <n v="9089"/>
    <n v="5801"/>
    <n v="63623"/>
    <n v="40607"/>
    <n v="23016"/>
    <n v="0.36175596875343818"/>
  </r>
  <r>
    <s v="ORD083"/>
    <x v="82"/>
    <x v="6"/>
    <x v="2"/>
    <x v="0"/>
    <n v="5"/>
    <n v="2546"/>
    <n v="1475"/>
    <n v="12730"/>
    <n v="7375"/>
    <n v="5355"/>
    <n v="0.42065985860172822"/>
  </r>
  <r>
    <s v="ORD084"/>
    <x v="83"/>
    <x v="5"/>
    <x v="0"/>
    <x v="0"/>
    <n v="1"/>
    <n v="28611"/>
    <n v="22795"/>
    <n v="28611"/>
    <n v="22795"/>
    <n v="5816"/>
    <n v="0.20327845933382269"/>
  </r>
  <r>
    <s v="ORD085"/>
    <x v="84"/>
    <x v="5"/>
    <x v="0"/>
    <x v="3"/>
    <n v="3"/>
    <n v="27813"/>
    <n v="22120"/>
    <n v="83439"/>
    <n v="66360"/>
    <n v="17079"/>
    <n v="0.20468845503901051"/>
  </r>
  <r>
    <s v="ORD086"/>
    <x v="85"/>
    <x v="9"/>
    <x v="1"/>
    <x v="2"/>
    <n v="4"/>
    <n v="12885"/>
    <n v="8599"/>
    <n v="51540"/>
    <n v="34396"/>
    <n v="17144"/>
    <n v="0.33263484672099342"/>
  </r>
  <r>
    <s v="ORD087"/>
    <x v="86"/>
    <x v="5"/>
    <x v="0"/>
    <x v="1"/>
    <n v="5"/>
    <n v="28820"/>
    <n v="20868"/>
    <n v="144100"/>
    <n v="104340"/>
    <n v="39760"/>
    <n v="0.27591950034698132"/>
  </r>
  <r>
    <s v="ORD088"/>
    <x v="87"/>
    <x v="6"/>
    <x v="2"/>
    <x v="0"/>
    <n v="5"/>
    <n v="2309"/>
    <n v="1453"/>
    <n v="11545"/>
    <n v="7265"/>
    <n v="4280"/>
    <n v="0.37072325682113472"/>
  </r>
  <r>
    <s v="ORD089"/>
    <x v="88"/>
    <x v="7"/>
    <x v="2"/>
    <x v="1"/>
    <n v="7"/>
    <n v="1238"/>
    <n v="660"/>
    <n v="8666"/>
    <n v="4620"/>
    <n v="4046"/>
    <n v="0.46688206785137321"/>
  </r>
  <r>
    <s v="ORD090"/>
    <x v="89"/>
    <x v="6"/>
    <x v="2"/>
    <x v="2"/>
    <n v="4"/>
    <n v="2687"/>
    <n v="1408"/>
    <n v="10748"/>
    <n v="5632"/>
    <n v="5116"/>
    <n v="0.47599553405284711"/>
  </r>
  <r>
    <s v="ORD091"/>
    <x v="90"/>
    <x v="9"/>
    <x v="1"/>
    <x v="3"/>
    <n v="1"/>
    <n v="12146"/>
    <n v="8428"/>
    <n v="12146"/>
    <n v="8428"/>
    <n v="3718"/>
    <n v="0.30610900708052041"/>
  </r>
  <r>
    <s v="ORD092"/>
    <x v="91"/>
    <x v="1"/>
    <x v="1"/>
    <x v="2"/>
    <n v="2"/>
    <n v="8610"/>
    <n v="6056"/>
    <n v="17220"/>
    <n v="12112"/>
    <n v="5108"/>
    <n v="0.29663182346109168"/>
  </r>
  <r>
    <s v="ORD093"/>
    <x v="92"/>
    <x v="9"/>
    <x v="1"/>
    <x v="2"/>
    <n v="4"/>
    <n v="12482"/>
    <n v="8450"/>
    <n v="49928"/>
    <n v="33800"/>
    <n v="16128"/>
    <n v="0.32302515622496403"/>
  </r>
  <r>
    <s v="ORD094"/>
    <x v="93"/>
    <x v="7"/>
    <x v="2"/>
    <x v="0"/>
    <n v="6"/>
    <n v="1201"/>
    <n v="675"/>
    <n v="7206"/>
    <n v="4050"/>
    <n v="3156"/>
    <n v="0.43796835970024978"/>
  </r>
  <r>
    <s v="ORD095"/>
    <x v="94"/>
    <x v="2"/>
    <x v="2"/>
    <x v="0"/>
    <n v="5"/>
    <n v="1768"/>
    <n v="941"/>
    <n v="8840"/>
    <n v="4705"/>
    <n v="4135"/>
    <n v="0.46776018099547512"/>
  </r>
  <r>
    <s v="ORD096"/>
    <x v="95"/>
    <x v="7"/>
    <x v="2"/>
    <x v="1"/>
    <n v="3"/>
    <n v="1165"/>
    <n v="685"/>
    <n v="3495"/>
    <n v="2055"/>
    <n v="1440"/>
    <n v="0.41201716738197419"/>
  </r>
  <r>
    <s v="ORD097"/>
    <x v="96"/>
    <x v="1"/>
    <x v="1"/>
    <x v="2"/>
    <n v="3"/>
    <n v="7933"/>
    <n v="5516"/>
    <n v="23799"/>
    <n v="16548"/>
    <n v="7251"/>
    <n v="0.30467666708685243"/>
  </r>
  <r>
    <s v="ORD098"/>
    <x v="97"/>
    <x v="7"/>
    <x v="2"/>
    <x v="3"/>
    <n v="4"/>
    <n v="1248"/>
    <n v="673"/>
    <n v="4992"/>
    <n v="2692"/>
    <n v="2300"/>
    <n v="0.46073717948717952"/>
  </r>
  <r>
    <s v="ORD099"/>
    <x v="98"/>
    <x v="7"/>
    <x v="2"/>
    <x v="1"/>
    <n v="7"/>
    <n v="1199"/>
    <n v="615"/>
    <n v="8393"/>
    <n v="4305"/>
    <n v="4088"/>
    <n v="0.48707256046705588"/>
  </r>
  <r>
    <s v="ORD100"/>
    <x v="99"/>
    <x v="3"/>
    <x v="0"/>
    <x v="0"/>
    <n v="5"/>
    <n v="22162"/>
    <n v="17420"/>
    <n v="110810"/>
    <n v="87100"/>
    <n v="23710"/>
    <n v="0.21396985831603649"/>
  </r>
  <r>
    <s v="ORD101"/>
    <x v="100"/>
    <x v="7"/>
    <x v="2"/>
    <x v="0"/>
    <n v="2"/>
    <n v="1270"/>
    <n v="676"/>
    <n v="2540"/>
    <n v="1352"/>
    <n v="1188"/>
    <n v="0.46771653543307079"/>
  </r>
  <r>
    <s v="ORD102"/>
    <x v="101"/>
    <x v="6"/>
    <x v="2"/>
    <x v="2"/>
    <n v="2"/>
    <n v="2657"/>
    <n v="1341"/>
    <n v="5314"/>
    <n v="2682"/>
    <n v="2632"/>
    <n v="0.49529544599171998"/>
  </r>
  <r>
    <s v="ORD103"/>
    <x v="102"/>
    <x v="9"/>
    <x v="1"/>
    <x v="0"/>
    <n v="6"/>
    <n v="11759"/>
    <n v="8073"/>
    <n v="70554"/>
    <n v="48438"/>
    <n v="22116"/>
    <n v="0.31346202908410581"/>
  </r>
  <r>
    <s v="ORD104"/>
    <x v="103"/>
    <x v="1"/>
    <x v="1"/>
    <x v="0"/>
    <n v="1"/>
    <n v="9161"/>
    <n v="5976"/>
    <n v="9161"/>
    <n v="5976"/>
    <n v="3185"/>
    <n v="0.34766946839864638"/>
  </r>
  <r>
    <s v="ORD105"/>
    <x v="104"/>
    <x v="2"/>
    <x v="2"/>
    <x v="1"/>
    <n v="4"/>
    <n v="1880"/>
    <n v="1007"/>
    <n v="7520"/>
    <n v="4028"/>
    <n v="3492"/>
    <n v="0.46436170212765959"/>
  </r>
  <r>
    <s v="ORD106"/>
    <x v="105"/>
    <x v="3"/>
    <x v="0"/>
    <x v="2"/>
    <n v="2"/>
    <n v="21769"/>
    <n v="16498"/>
    <n v="43538"/>
    <n v="32996"/>
    <n v="10542"/>
    <n v="0.24213330883366249"/>
  </r>
  <r>
    <s v="ORD107"/>
    <x v="106"/>
    <x v="5"/>
    <x v="0"/>
    <x v="3"/>
    <n v="4"/>
    <n v="29080"/>
    <n v="22705"/>
    <n v="116320"/>
    <n v="90820"/>
    <n v="25500"/>
    <n v="0.21922283356258601"/>
  </r>
  <r>
    <s v="ORD108"/>
    <x v="107"/>
    <x v="7"/>
    <x v="2"/>
    <x v="0"/>
    <n v="7"/>
    <n v="1216"/>
    <n v="686"/>
    <n v="8512"/>
    <n v="4802"/>
    <n v="3710"/>
    <n v="0.43585526315789469"/>
  </r>
  <r>
    <s v="ORD109"/>
    <x v="108"/>
    <x v="8"/>
    <x v="0"/>
    <x v="0"/>
    <n v="1"/>
    <n v="52568"/>
    <n v="45390"/>
    <n v="52568"/>
    <n v="45390"/>
    <n v="7178"/>
    <n v="0.1365469487140466"/>
  </r>
  <r>
    <s v="ORD110"/>
    <x v="109"/>
    <x v="9"/>
    <x v="1"/>
    <x v="3"/>
    <n v="8"/>
    <n v="12946"/>
    <n v="7781"/>
    <n v="103568"/>
    <n v="62248"/>
    <n v="41320"/>
    <n v="0.39896493125289673"/>
  </r>
  <r>
    <s v="ORD111"/>
    <x v="110"/>
    <x v="4"/>
    <x v="0"/>
    <x v="0"/>
    <n v="3"/>
    <n v="3513"/>
    <n v="2234"/>
    <n v="10539"/>
    <n v="6702"/>
    <n v="3837"/>
    <n v="0.36407628807287218"/>
  </r>
  <r>
    <s v="ORD112"/>
    <x v="111"/>
    <x v="8"/>
    <x v="0"/>
    <x v="0"/>
    <n v="5"/>
    <n v="53981"/>
    <n v="44223"/>
    <n v="269905"/>
    <n v="221115"/>
    <n v="48790"/>
    <n v="0.18076730701543139"/>
  </r>
  <r>
    <s v="ORD113"/>
    <x v="112"/>
    <x v="3"/>
    <x v="0"/>
    <x v="1"/>
    <n v="8"/>
    <n v="21629"/>
    <n v="16198"/>
    <n v="173032"/>
    <n v="129584"/>
    <n v="43448"/>
    <n v="0.25109806278607433"/>
  </r>
  <r>
    <s v="ORD114"/>
    <x v="113"/>
    <x v="9"/>
    <x v="1"/>
    <x v="1"/>
    <n v="8"/>
    <n v="12282"/>
    <n v="8090"/>
    <n v="98256"/>
    <n v="64720"/>
    <n v="33536"/>
    <n v="0.34131248982250451"/>
  </r>
  <r>
    <s v="ORD115"/>
    <x v="114"/>
    <x v="5"/>
    <x v="0"/>
    <x v="1"/>
    <n v="4"/>
    <n v="30125"/>
    <n v="23284"/>
    <n v="120500"/>
    <n v="93136"/>
    <n v="27364"/>
    <n v="0.22708713692946059"/>
  </r>
  <r>
    <s v="ORD116"/>
    <x v="115"/>
    <x v="2"/>
    <x v="2"/>
    <x v="3"/>
    <n v="7"/>
    <n v="1745"/>
    <n v="1038"/>
    <n v="12215"/>
    <n v="7266"/>
    <n v="4949"/>
    <n v="0.40515759312320909"/>
  </r>
  <r>
    <s v="ORD117"/>
    <x v="116"/>
    <x v="4"/>
    <x v="0"/>
    <x v="0"/>
    <n v="5"/>
    <n v="3453"/>
    <n v="2221"/>
    <n v="17265"/>
    <n v="11105"/>
    <n v="6160"/>
    <n v="0.35679119606139592"/>
  </r>
  <r>
    <s v="ORD118"/>
    <x v="117"/>
    <x v="7"/>
    <x v="2"/>
    <x v="1"/>
    <n v="2"/>
    <n v="1272"/>
    <n v="654"/>
    <n v="2544"/>
    <n v="1308"/>
    <n v="1236"/>
    <n v="0.48584905660377359"/>
  </r>
  <r>
    <s v="ORD119"/>
    <x v="118"/>
    <x v="9"/>
    <x v="1"/>
    <x v="2"/>
    <n v="7"/>
    <n v="12533"/>
    <n v="8181"/>
    <n v="87731"/>
    <n v="57267"/>
    <n v="30464"/>
    <n v="0.34724327774674862"/>
  </r>
  <r>
    <s v="ORD120"/>
    <x v="119"/>
    <x v="8"/>
    <x v="0"/>
    <x v="3"/>
    <n v="3"/>
    <n v="53952"/>
    <n v="45425"/>
    <n v="161856"/>
    <n v="136275"/>
    <n v="25581"/>
    <n v="0.15804789442467379"/>
  </r>
  <r>
    <s v="ORD121"/>
    <x v="120"/>
    <x v="8"/>
    <x v="0"/>
    <x v="1"/>
    <n v="5"/>
    <n v="50924"/>
    <n v="41111"/>
    <n v="254620"/>
    <n v="205555"/>
    <n v="49065"/>
    <n v="0.19269892388657611"/>
  </r>
  <r>
    <s v="ORD122"/>
    <x v="121"/>
    <x v="9"/>
    <x v="1"/>
    <x v="1"/>
    <n v="8"/>
    <n v="12368"/>
    <n v="8234"/>
    <n v="98944"/>
    <n v="65872"/>
    <n v="33072"/>
    <n v="0.33424967658473481"/>
  </r>
  <r>
    <s v="ORD123"/>
    <x v="122"/>
    <x v="9"/>
    <x v="1"/>
    <x v="0"/>
    <n v="6"/>
    <n v="12163"/>
    <n v="8423"/>
    <n v="72978"/>
    <n v="50538"/>
    <n v="22440"/>
    <n v="0.30748992847159418"/>
  </r>
  <r>
    <s v="ORD124"/>
    <x v="123"/>
    <x v="3"/>
    <x v="0"/>
    <x v="2"/>
    <n v="2"/>
    <n v="21089"/>
    <n v="16398"/>
    <n v="42178"/>
    <n v="32796"/>
    <n v="9382"/>
    <n v="0.22243823794395179"/>
  </r>
  <r>
    <s v="ORD125"/>
    <x v="124"/>
    <x v="8"/>
    <x v="0"/>
    <x v="2"/>
    <n v="3"/>
    <n v="52424"/>
    <n v="44952"/>
    <n v="157272"/>
    <n v="134856"/>
    <n v="22416"/>
    <n v="0.14253013886769419"/>
  </r>
  <r>
    <s v="ORD126"/>
    <x v="125"/>
    <x v="6"/>
    <x v="2"/>
    <x v="1"/>
    <n v="8"/>
    <n v="2407"/>
    <n v="1320"/>
    <n v="19256"/>
    <n v="10560"/>
    <n v="8696"/>
    <n v="0.45159950145409222"/>
  </r>
  <r>
    <s v="ORD127"/>
    <x v="126"/>
    <x v="3"/>
    <x v="0"/>
    <x v="2"/>
    <n v="2"/>
    <n v="23166"/>
    <n v="16608"/>
    <n v="46332"/>
    <n v="33216"/>
    <n v="13116"/>
    <n v="0.28308728308728309"/>
  </r>
  <r>
    <s v="ORD128"/>
    <x v="127"/>
    <x v="8"/>
    <x v="0"/>
    <x v="0"/>
    <n v="6"/>
    <n v="51378"/>
    <n v="44506"/>
    <n v="308268"/>
    <n v="267036"/>
    <n v="41232"/>
    <n v="0.13375374673984969"/>
  </r>
  <r>
    <s v="ORD129"/>
    <x v="128"/>
    <x v="8"/>
    <x v="0"/>
    <x v="2"/>
    <n v="8"/>
    <n v="54301"/>
    <n v="44469"/>
    <n v="434408"/>
    <n v="355752"/>
    <n v="78656"/>
    <n v="0.181064805436364"/>
  </r>
  <r>
    <s v="ORD130"/>
    <x v="129"/>
    <x v="5"/>
    <x v="0"/>
    <x v="1"/>
    <n v="3"/>
    <n v="26371"/>
    <n v="20718"/>
    <n v="79113"/>
    <n v="62154"/>
    <n v="16959"/>
    <n v="0.21436426377460091"/>
  </r>
  <r>
    <s v="ORD131"/>
    <x v="130"/>
    <x v="2"/>
    <x v="2"/>
    <x v="3"/>
    <n v="2"/>
    <n v="1769"/>
    <n v="992"/>
    <n v="3538"/>
    <n v="1984"/>
    <n v="1554"/>
    <n v="0.43923120407009608"/>
  </r>
  <r>
    <s v="ORD132"/>
    <x v="131"/>
    <x v="5"/>
    <x v="0"/>
    <x v="3"/>
    <n v="4"/>
    <n v="27780"/>
    <n v="23084"/>
    <n v="111120"/>
    <n v="92336"/>
    <n v="18784"/>
    <n v="0.16904247660187191"/>
  </r>
  <r>
    <s v="ORD133"/>
    <x v="132"/>
    <x v="0"/>
    <x v="0"/>
    <x v="0"/>
    <n v="2"/>
    <n v="17151"/>
    <n v="11013"/>
    <n v="34302"/>
    <n v="22026"/>
    <n v="12276"/>
    <n v="0.3578800069966766"/>
  </r>
  <r>
    <s v="ORD134"/>
    <x v="133"/>
    <x v="6"/>
    <x v="2"/>
    <x v="2"/>
    <n v="1"/>
    <n v="2403"/>
    <n v="1393"/>
    <n v="2403"/>
    <n v="1393"/>
    <n v="1010"/>
    <n v="0.42030794839783597"/>
  </r>
  <r>
    <s v="ORD135"/>
    <x v="134"/>
    <x v="5"/>
    <x v="0"/>
    <x v="2"/>
    <n v="6"/>
    <n v="27233"/>
    <n v="22352"/>
    <n v="163398"/>
    <n v="134112"/>
    <n v="29286"/>
    <n v="0.17923107993977891"/>
  </r>
  <r>
    <s v="ORD136"/>
    <x v="135"/>
    <x v="4"/>
    <x v="0"/>
    <x v="1"/>
    <n v="7"/>
    <n v="3292"/>
    <n v="2108"/>
    <n v="23044"/>
    <n v="14756"/>
    <n v="8288"/>
    <n v="0.35965978128797083"/>
  </r>
  <r>
    <s v="ORD137"/>
    <x v="136"/>
    <x v="2"/>
    <x v="2"/>
    <x v="3"/>
    <n v="8"/>
    <n v="1708"/>
    <n v="981"/>
    <n v="13664"/>
    <n v="7848"/>
    <n v="5816"/>
    <n v="0.42564402810304452"/>
  </r>
  <r>
    <s v="ORD138"/>
    <x v="137"/>
    <x v="4"/>
    <x v="0"/>
    <x v="2"/>
    <n v="8"/>
    <n v="3594"/>
    <n v="2113"/>
    <n v="28752"/>
    <n v="16904"/>
    <n v="11848"/>
    <n v="0.41207568169170838"/>
  </r>
  <r>
    <s v="ORD139"/>
    <x v="138"/>
    <x v="3"/>
    <x v="0"/>
    <x v="1"/>
    <n v="3"/>
    <n v="20835"/>
    <n v="16548"/>
    <n v="62505"/>
    <n v="49644"/>
    <n v="12861"/>
    <n v="0.20575953923686099"/>
  </r>
  <r>
    <s v="ORD140"/>
    <x v="139"/>
    <x v="2"/>
    <x v="2"/>
    <x v="3"/>
    <n v="5"/>
    <n v="1810"/>
    <n v="983"/>
    <n v="9050"/>
    <n v="4915"/>
    <n v="4135"/>
    <n v="0.45690607734806632"/>
  </r>
  <r>
    <s v="ORD141"/>
    <x v="140"/>
    <x v="5"/>
    <x v="0"/>
    <x v="3"/>
    <n v="1"/>
    <n v="28853"/>
    <n v="20784"/>
    <n v="28853"/>
    <n v="20784"/>
    <n v="8069"/>
    <n v="0.27965896093993692"/>
  </r>
  <r>
    <s v="ORD142"/>
    <x v="141"/>
    <x v="7"/>
    <x v="2"/>
    <x v="3"/>
    <n v="7"/>
    <n v="1120"/>
    <n v="679"/>
    <n v="7840"/>
    <n v="4753"/>
    <n v="3087"/>
    <n v="0.39374999999999999"/>
  </r>
  <r>
    <s v="ORD143"/>
    <x v="142"/>
    <x v="8"/>
    <x v="0"/>
    <x v="0"/>
    <n v="2"/>
    <n v="51344"/>
    <n v="43502"/>
    <n v="102688"/>
    <n v="87004"/>
    <n v="15684"/>
    <n v="0.15273449672795261"/>
  </r>
  <r>
    <s v="ORD144"/>
    <x v="143"/>
    <x v="1"/>
    <x v="1"/>
    <x v="3"/>
    <n v="7"/>
    <n v="9077"/>
    <n v="5616"/>
    <n v="63539"/>
    <n v="39312"/>
    <n v="24227"/>
    <n v="0.38129337886967057"/>
  </r>
  <r>
    <s v="ORD145"/>
    <x v="144"/>
    <x v="0"/>
    <x v="0"/>
    <x v="2"/>
    <n v="6"/>
    <n v="16634"/>
    <n v="10861"/>
    <n v="99804"/>
    <n v="65166"/>
    <n v="34638"/>
    <n v="0.34706023806661063"/>
  </r>
  <r>
    <s v="ORD146"/>
    <x v="145"/>
    <x v="6"/>
    <x v="2"/>
    <x v="0"/>
    <n v="3"/>
    <n v="2658"/>
    <n v="1402"/>
    <n v="7974"/>
    <n v="4206"/>
    <n v="3768"/>
    <n v="0.47253574115876601"/>
  </r>
  <r>
    <s v="ORD147"/>
    <x v="146"/>
    <x v="5"/>
    <x v="0"/>
    <x v="2"/>
    <n v="2"/>
    <n v="27539"/>
    <n v="20957"/>
    <n v="55078"/>
    <n v="41914"/>
    <n v="13164"/>
    <n v="0.23900649987290751"/>
  </r>
  <r>
    <s v="ORD148"/>
    <x v="147"/>
    <x v="0"/>
    <x v="0"/>
    <x v="1"/>
    <n v="5"/>
    <n v="16164"/>
    <n v="11970"/>
    <n v="80820"/>
    <n v="59850"/>
    <n v="20970"/>
    <n v="0.25946547884187082"/>
  </r>
  <r>
    <s v="ORD149"/>
    <x v="148"/>
    <x v="2"/>
    <x v="2"/>
    <x v="3"/>
    <n v="2"/>
    <n v="1723"/>
    <n v="981"/>
    <n v="3446"/>
    <n v="1962"/>
    <n v="1484"/>
    <n v="0.4306442251886245"/>
  </r>
  <r>
    <s v="ORD150"/>
    <x v="149"/>
    <x v="7"/>
    <x v="2"/>
    <x v="2"/>
    <n v="4"/>
    <n v="1229"/>
    <n v="648"/>
    <n v="4916"/>
    <n v="2592"/>
    <n v="2324"/>
    <n v="0.472742066720911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85721A-A4F4-4452-AFCF-EDC3F88BCD6B}"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5:C36" firstHeaderRow="0" firstDataRow="1" firstDataCol="0"/>
  <pivotFields count="13">
    <pivotField showAll="0"/>
    <pivotField numFmtId="166" showAll="0"/>
    <pivotField showAll="0"/>
    <pivotField showAll="0">
      <items count="4">
        <item x="2"/>
        <item x="0"/>
        <item x="1"/>
        <item t="default"/>
      </items>
    </pivotField>
    <pivotField showAll="0">
      <items count="5">
        <item x="3"/>
        <item x="1"/>
        <item x="2"/>
        <item x="0"/>
        <item t="default"/>
      </items>
    </pivotField>
    <pivotField dataField="1" showAll="0"/>
    <pivotField numFmtId="164" showAll="0"/>
    <pivotField numFmtId="164" showAll="0"/>
    <pivotField dataField="1" numFmtId="164" showAll="0"/>
    <pivotField numFmtId="164" showAll="0"/>
    <pivotField dataField="1" numFmtId="164" showAll="0"/>
    <pivotField numFmtId="165" showAll="0"/>
    <pivotField showAll="0" defaultSubtotal="0"/>
  </pivotFields>
  <rowItems count="1">
    <i/>
  </rowItems>
  <colFields count="1">
    <field x="-2"/>
  </colFields>
  <colItems count="3">
    <i>
      <x/>
    </i>
    <i i="1">
      <x v="1"/>
    </i>
    <i i="2">
      <x v="2"/>
    </i>
  </colItems>
  <dataFields count="3">
    <dataField name="Sum of Revenue" fld="8" baseField="0" baseItem="0"/>
    <dataField name="Sum of Units Sold" fld="5" baseField="0" baseItem="0"/>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420B12-B25C-43D4-BA9C-A7216F0C2045}" name="PivotTable1"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rowHeaderCaption="Months">
  <location ref="A3:B12" firstHeaderRow="1" firstDataRow="1" firstDataCol="1"/>
  <pivotFields count="13">
    <pivotField showAll="0"/>
    <pivotField axis="axisRow" numFmtId="166"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x="2"/>
        <item x="0"/>
        <item x="1"/>
        <item t="default"/>
      </items>
    </pivotField>
    <pivotField showAll="0">
      <items count="5">
        <item x="3"/>
        <item x="1"/>
        <item x="2"/>
        <item x="0"/>
        <item t="default"/>
      </items>
    </pivotField>
    <pivotField showAll="0"/>
    <pivotField numFmtId="164" showAll="0"/>
    <pivotField numFmtId="164" showAll="0"/>
    <pivotField dataField="1" numFmtId="164" showAll="0"/>
    <pivotField numFmtId="164" showAll="0"/>
    <pivotField numFmtId="164" showAll="0"/>
    <pivotField numFmtId="165"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2"/>
    <field x="1"/>
  </rowFields>
  <rowItems count="9">
    <i>
      <x v="1"/>
    </i>
    <i>
      <x v="2"/>
    </i>
    <i>
      <x v="3"/>
    </i>
    <i>
      <x v="4"/>
    </i>
    <i>
      <x v="5"/>
    </i>
    <i>
      <x v="6"/>
    </i>
    <i>
      <x v="7"/>
    </i>
    <i>
      <x v="8"/>
    </i>
    <i>
      <x v="9"/>
    </i>
  </rowItems>
  <colItems count="1">
    <i/>
  </colItems>
  <dataFields count="1">
    <dataField name="Revenue." fld="8" baseField="0" baseItem="0"/>
  </dataFields>
  <chartFormats count="2">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358A27-014B-4C90-A71D-20B1E5EED1E7}" name="PivotTable4"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 rowHeaderCaption="Products">
  <location ref="E16:G26" firstHeaderRow="0" firstDataRow="1" firstDataCol="1"/>
  <pivotFields count="13">
    <pivotField showAll="0"/>
    <pivotField numFmtId="166"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descending">
      <items count="11">
        <item x="2"/>
        <item x="9"/>
        <item x="4"/>
        <item x="6"/>
        <item x="8"/>
        <item x="0"/>
        <item x="7"/>
        <item x="1"/>
        <item x="5"/>
        <item x="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3"/>
        <item x="1"/>
        <item x="2"/>
        <item x="0"/>
        <item t="default"/>
      </items>
    </pivotField>
    <pivotField showAll="0"/>
    <pivotField numFmtId="164" showAll="0"/>
    <pivotField numFmtId="164" showAll="0"/>
    <pivotField dataField="1" numFmtId="164" showAll="0"/>
    <pivotField numFmtId="164" showAll="0"/>
    <pivotField dataField="1" numFmtId="164"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0">
    <i>
      <x v="4"/>
    </i>
    <i>
      <x v="8"/>
    </i>
    <i>
      <x v="9"/>
    </i>
    <i>
      <x v="1"/>
    </i>
    <i>
      <x v="5"/>
    </i>
    <i>
      <x v="7"/>
    </i>
    <i>
      <x v="2"/>
    </i>
    <i>
      <x/>
    </i>
    <i>
      <x v="3"/>
    </i>
    <i>
      <x v="6"/>
    </i>
  </rowItems>
  <colFields count="1">
    <field x="-2"/>
  </colFields>
  <colItems count="2">
    <i>
      <x/>
    </i>
    <i i="1">
      <x v="1"/>
    </i>
  </colItems>
  <dataFields count="2">
    <dataField name="Revenue." fld="8" baseField="0" baseItem="0"/>
    <dataField name="Profit." fld="10" baseField="0" baseItem="0"/>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DE5891-C7FA-402B-9D8D-D54DCFF9AB3E}" name="PivotTable3"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rowHeaderCaption="Regions">
  <location ref="A16:C20" firstHeaderRow="0" firstDataRow="1" firstDataCol="1"/>
  <pivotFields count="13">
    <pivotField showAll="0"/>
    <pivotField numFmtId="166"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x="2"/>
        <item x="0"/>
        <item x="1"/>
        <item t="default"/>
      </items>
    </pivotField>
    <pivotField axis="axisRow" showAll="0">
      <items count="5">
        <item x="3"/>
        <item x="1"/>
        <item x="2"/>
        <item x="0"/>
        <item t="default"/>
      </items>
    </pivotField>
    <pivotField showAll="0"/>
    <pivotField numFmtId="164" showAll="0"/>
    <pivotField numFmtId="164" showAll="0"/>
    <pivotField dataField="1" numFmtId="164" showAll="0"/>
    <pivotField numFmtId="164" showAll="0"/>
    <pivotField dataField="1" numFmtId="164"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i>
    <i>
      <x v="1"/>
    </i>
    <i>
      <x v="2"/>
    </i>
    <i>
      <x v="3"/>
    </i>
  </rowItems>
  <colFields count="1">
    <field x="-2"/>
  </colFields>
  <colItems count="2">
    <i>
      <x/>
    </i>
    <i i="1">
      <x v="1"/>
    </i>
  </colItems>
  <dataFields count="2">
    <dataField name="Revenue." fld="8" baseField="0" baseItem="0"/>
    <dataField name="Profit." fld="10" baseField="0" baseItem="0"/>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73E752-109E-47B9-BA93-0BD3E2F45D33}"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 rowHeaderCaption="Category">
  <location ref="E3:F6" firstHeaderRow="1" firstDataRow="1" firstDataCol="1"/>
  <pivotFields count="13">
    <pivotField showAll="0"/>
    <pivotField numFmtId="166"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4">
        <item x="2"/>
        <item x="0"/>
        <item x="1"/>
        <item t="default"/>
      </items>
    </pivotField>
    <pivotField showAll="0">
      <items count="5">
        <item x="3"/>
        <item x="1"/>
        <item x="2"/>
        <item x="0"/>
        <item t="default"/>
      </items>
    </pivotField>
    <pivotField showAll="0"/>
    <pivotField numFmtId="164" showAll="0"/>
    <pivotField numFmtId="164" showAll="0"/>
    <pivotField numFmtId="164" showAll="0"/>
    <pivotField numFmtId="164" showAll="0"/>
    <pivotField dataField="1" numFmtId="164"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3">
    <i>
      <x/>
    </i>
    <i>
      <x v="1"/>
    </i>
    <i>
      <x v="2"/>
    </i>
  </rowItems>
  <colItems count="1">
    <i/>
  </colItems>
  <dataFields count="1">
    <dataField name="Profit." fld="10"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9C34215-99A9-4008-8EF5-9A4CA9092762}" sourceName="Region">
  <pivotTables>
    <pivotTable tabId="3" name="PivotTable3"/>
    <pivotTable tabId="3" name="PivotTable1"/>
    <pivotTable tabId="3" name="PivotTable2"/>
    <pivotTable tabId="3" name="PivotTable4"/>
    <pivotTable tabId="3" name="PivotTable5"/>
  </pivotTables>
  <data>
    <tabular pivotCacheId="1217570696">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3F7128A-00CF-4E35-8202-14F744B1E440}" sourceName="Category">
  <pivotTables>
    <pivotTable tabId="3" name="PivotTable2"/>
    <pivotTable tabId="3" name="PivotTable1"/>
    <pivotTable tabId="3" name="PivotTable3"/>
    <pivotTable tabId="3" name="PivotTable4"/>
    <pivotTable tabId="3" name="PivotTable5"/>
  </pivotTables>
  <data>
    <tabular pivotCacheId="1217570696">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1C9A8C8-0079-4531-A770-465029D893BB}" cache="Slicer_Region" caption="Region" rowHeight="241300"/>
  <slicer name="Category" xr10:uid="{59814FAC-FE92-483D-9276-104026C4BDAE}"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871994-E0B7-45BB-A72E-18F468B98C8A}" name="SalesData" displayName="SalesData" ref="A1:L151" totalsRowShown="0" headerRowDxfId="9" headerRowBorderDxfId="8" tableBorderDxfId="7">
  <autoFilter ref="A1:L151" xr:uid="{00000000-0009-0000-0000-000000000000}"/>
  <tableColumns count="12">
    <tableColumn id="1" xr3:uid="{03A3C859-3EAD-4A18-810C-4D737334FC30}" name="Order ID"/>
    <tableColumn id="2" xr3:uid="{2C0363CB-C1D7-45C0-8543-BDEBF697AA7A}" name="Date" dataDxfId="6"/>
    <tableColumn id="3" xr3:uid="{640E352B-28A9-403B-B2B9-593F1B76C877}" name="Product"/>
    <tableColumn id="4" xr3:uid="{615A0875-7153-4B94-AD4F-A96514EB11F4}" name="Category"/>
    <tableColumn id="5" xr3:uid="{115E3C52-FD2A-4EA0-A4CB-AB6A6FB5E348}" name="Region"/>
    <tableColumn id="6" xr3:uid="{7D14BB48-9FE7-46F0-B785-8251163B71A2}" name="Units Sold"/>
    <tableColumn id="7" xr3:uid="{601928B8-3831-4EFF-A9C8-8744B2C4D3EF}" name="Unit Price" dataDxfId="5"/>
    <tableColumn id="8" xr3:uid="{7C2774DF-DF79-4D1D-B25E-BED275515F6F}" name="Unit Cost" dataDxfId="4"/>
    <tableColumn id="9" xr3:uid="{F5D3B2C2-E725-41B0-9DED-5947873FAE5A}" name="Revenue" dataDxfId="3"/>
    <tableColumn id="10" xr3:uid="{36756A1A-7642-4DB9-AFA4-3C7D89F5B563}" name="Cost" dataDxfId="2"/>
    <tableColumn id="11" xr3:uid="{E8379F7D-6AD0-4788-91EA-6AFA68B756E3}" name="Profit" dataDxfId="1"/>
    <tableColumn id="12" xr3:uid="{C1F4F618-8140-43F1-8AE5-31D6EE2A5672}" name="Profit Margin"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1"/>
  <sheetViews>
    <sheetView workbookViewId="0">
      <pane ySplit="1" topLeftCell="A2" activePane="bottomLeft" state="frozen"/>
      <selection pane="bottomLeft" activeCell="C8" sqref="A2:L151"/>
    </sheetView>
  </sheetViews>
  <sheetFormatPr defaultRowHeight="14.5" x14ac:dyDescent="0.35"/>
  <cols>
    <col min="1" max="1" width="12" customWidth="1"/>
    <col min="2" max="2" width="14" customWidth="1"/>
    <col min="3" max="3" width="16" customWidth="1"/>
    <col min="4" max="4" width="15" customWidth="1"/>
    <col min="5" max="6" width="12" customWidth="1"/>
    <col min="7" max="8" width="13" customWidth="1"/>
    <col min="9" max="9" width="14" customWidth="1"/>
    <col min="10" max="11" width="13" customWidth="1"/>
    <col min="12" max="12" width="15" customWidth="1"/>
  </cols>
  <sheetData>
    <row r="1" spans="1:12" x14ac:dyDescent="0.35">
      <c r="A1" s="4" t="s">
        <v>0</v>
      </c>
      <c r="B1" s="4" t="s">
        <v>1</v>
      </c>
      <c r="C1" s="4" t="s">
        <v>2</v>
      </c>
      <c r="D1" s="4" t="s">
        <v>3</v>
      </c>
      <c r="E1" s="4" t="s">
        <v>4</v>
      </c>
      <c r="F1" s="4" t="s">
        <v>5</v>
      </c>
      <c r="G1" s="4" t="s">
        <v>6</v>
      </c>
      <c r="H1" s="4" t="s">
        <v>7</v>
      </c>
      <c r="I1" s="4" t="s">
        <v>8</v>
      </c>
      <c r="J1" s="4" t="s">
        <v>9</v>
      </c>
      <c r="K1" s="4" t="s">
        <v>10</v>
      </c>
      <c r="L1" s="4" t="s">
        <v>11</v>
      </c>
    </row>
    <row r="2" spans="1:12" x14ac:dyDescent="0.35">
      <c r="A2" t="s">
        <v>12</v>
      </c>
      <c r="B2" s="1">
        <v>46023</v>
      </c>
      <c r="C2" t="s">
        <v>13</v>
      </c>
      <c r="D2" t="s">
        <v>14</v>
      </c>
      <c r="E2" t="s">
        <v>15</v>
      </c>
      <c r="F2">
        <v>4</v>
      </c>
      <c r="G2" s="2">
        <v>16594</v>
      </c>
      <c r="H2" s="2">
        <v>11636</v>
      </c>
      <c r="I2" s="2">
        <v>66376</v>
      </c>
      <c r="J2" s="2">
        <v>46544</v>
      </c>
      <c r="K2" s="2">
        <v>19832</v>
      </c>
      <c r="L2" s="3">
        <v>0.29878269253947209</v>
      </c>
    </row>
    <row r="3" spans="1:12" x14ac:dyDescent="0.35">
      <c r="A3" t="s">
        <v>16</v>
      </c>
      <c r="B3" s="1">
        <v>46024.825503355692</v>
      </c>
      <c r="C3" t="s">
        <v>13</v>
      </c>
      <c r="D3" t="s">
        <v>14</v>
      </c>
      <c r="E3" t="s">
        <v>17</v>
      </c>
      <c r="F3">
        <v>2</v>
      </c>
      <c r="G3" s="2">
        <v>14869</v>
      </c>
      <c r="H3" s="2">
        <v>12005</v>
      </c>
      <c r="I3" s="2">
        <v>29738</v>
      </c>
      <c r="J3" s="2">
        <v>24010</v>
      </c>
      <c r="K3" s="2">
        <v>5728</v>
      </c>
      <c r="L3" s="3">
        <v>0.1926155087766494</v>
      </c>
    </row>
    <row r="4" spans="1:12" x14ac:dyDescent="0.35">
      <c r="A4" t="s">
        <v>18</v>
      </c>
      <c r="B4" s="1">
        <v>46026.6510067114</v>
      </c>
      <c r="C4" t="s">
        <v>19</v>
      </c>
      <c r="D4" t="s">
        <v>20</v>
      </c>
      <c r="E4" t="s">
        <v>15</v>
      </c>
      <c r="F4">
        <v>8</v>
      </c>
      <c r="G4" s="2">
        <v>7848</v>
      </c>
      <c r="H4" s="2">
        <v>6127</v>
      </c>
      <c r="I4" s="2">
        <v>62784</v>
      </c>
      <c r="J4" s="2">
        <v>49016</v>
      </c>
      <c r="K4" s="2">
        <v>13768</v>
      </c>
      <c r="L4" s="3">
        <v>0.21929153924566769</v>
      </c>
    </row>
    <row r="5" spans="1:12" x14ac:dyDescent="0.35">
      <c r="A5" t="s">
        <v>21</v>
      </c>
      <c r="B5" s="1">
        <v>46028.476510067107</v>
      </c>
      <c r="C5" t="s">
        <v>22</v>
      </c>
      <c r="D5" t="s">
        <v>23</v>
      </c>
      <c r="E5" t="s">
        <v>17</v>
      </c>
      <c r="F5">
        <v>2</v>
      </c>
      <c r="G5" s="2">
        <v>1709</v>
      </c>
      <c r="H5" s="2">
        <v>977</v>
      </c>
      <c r="I5" s="2">
        <v>3418</v>
      </c>
      <c r="J5" s="2">
        <v>1954</v>
      </c>
      <c r="K5" s="2">
        <v>1464</v>
      </c>
      <c r="L5" s="3">
        <v>0.42832065535400821</v>
      </c>
    </row>
    <row r="6" spans="1:12" x14ac:dyDescent="0.35">
      <c r="A6" t="s">
        <v>24</v>
      </c>
      <c r="B6" s="1">
        <v>46030.302013422814</v>
      </c>
      <c r="C6" t="s">
        <v>22</v>
      </c>
      <c r="D6" t="s">
        <v>23</v>
      </c>
      <c r="E6" t="s">
        <v>25</v>
      </c>
      <c r="F6">
        <v>5</v>
      </c>
      <c r="G6" s="2">
        <v>1740</v>
      </c>
      <c r="H6" s="2">
        <v>1013</v>
      </c>
      <c r="I6" s="2">
        <v>8700</v>
      </c>
      <c r="J6" s="2">
        <v>5065</v>
      </c>
      <c r="K6" s="2">
        <v>3635</v>
      </c>
      <c r="L6" s="3">
        <v>0.41781609195402297</v>
      </c>
    </row>
    <row r="7" spans="1:12" x14ac:dyDescent="0.35">
      <c r="A7" t="s">
        <v>26</v>
      </c>
      <c r="B7" s="1">
        <v>46032.127516778521</v>
      </c>
      <c r="C7" t="s">
        <v>27</v>
      </c>
      <c r="D7" t="s">
        <v>14</v>
      </c>
      <c r="E7" t="s">
        <v>25</v>
      </c>
      <c r="F7">
        <v>8</v>
      </c>
      <c r="G7" s="2">
        <v>21530</v>
      </c>
      <c r="H7" s="2">
        <v>16910</v>
      </c>
      <c r="I7" s="2">
        <v>172240</v>
      </c>
      <c r="J7" s="2">
        <v>135280</v>
      </c>
      <c r="K7" s="2">
        <v>36960</v>
      </c>
      <c r="L7" s="3">
        <v>0.2145843009753832</v>
      </c>
    </row>
    <row r="8" spans="1:12" x14ac:dyDescent="0.35">
      <c r="A8" t="s">
        <v>28</v>
      </c>
      <c r="B8" s="1">
        <v>46033.953020134228</v>
      </c>
      <c r="C8" t="s">
        <v>29</v>
      </c>
      <c r="D8" t="s">
        <v>14</v>
      </c>
      <c r="E8" t="s">
        <v>30</v>
      </c>
      <c r="F8">
        <v>4</v>
      </c>
      <c r="G8" s="2">
        <v>3552</v>
      </c>
      <c r="H8" s="2">
        <v>2080</v>
      </c>
      <c r="I8" s="2">
        <v>14208</v>
      </c>
      <c r="J8" s="2">
        <v>8320</v>
      </c>
      <c r="K8" s="2">
        <v>5888</v>
      </c>
      <c r="L8" s="3">
        <v>0.4144144144144144</v>
      </c>
    </row>
    <row r="9" spans="1:12" x14ac:dyDescent="0.35">
      <c r="A9" t="s">
        <v>31</v>
      </c>
      <c r="B9" s="1">
        <v>46035.778523489927</v>
      </c>
      <c r="C9" t="s">
        <v>29</v>
      </c>
      <c r="D9" t="s">
        <v>14</v>
      </c>
      <c r="E9" t="s">
        <v>17</v>
      </c>
      <c r="F9">
        <v>7</v>
      </c>
      <c r="G9" s="2">
        <v>3256</v>
      </c>
      <c r="H9" s="2">
        <v>2319</v>
      </c>
      <c r="I9" s="2">
        <v>22792</v>
      </c>
      <c r="J9" s="2">
        <v>16233</v>
      </c>
      <c r="K9" s="2">
        <v>6559</v>
      </c>
      <c r="L9" s="3">
        <v>0.28777641277641269</v>
      </c>
    </row>
    <row r="10" spans="1:12" x14ac:dyDescent="0.35">
      <c r="A10" t="s">
        <v>32</v>
      </c>
      <c r="B10" s="1">
        <v>46037.604026845627</v>
      </c>
      <c r="C10" t="s">
        <v>33</v>
      </c>
      <c r="D10" t="s">
        <v>14</v>
      </c>
      <c r="E10" t="s">
        <v>25</v>
      </c>
      <c r="F10">
        <v>2</v>
      </c>
      <c r="G10" s="2">
        <v>26198</v>
      </c>
      <c r="H10" s="2">
        <v>22486</v>
      </c>
      <c r="I10" s="2">
        <v>52396</v>
      </c>
      <c r="J10" s="2">
        <v>44972</v>
      </c>
      <c r="K10" s="2">
        <v>7424</v>
      </c>
      <c r="L10" s="3">
        <v>0.14169020535918769</v>
      </c>
    </row>
    <row r="11" spans="1:12" x14ac:dyDescent="0.35">
      <c r="A11" t="s">
        <v>34</v>
      </c>
      <c r="B11" s="1">
        <v>46039.429530201327</v>
      </c>
      <c r="C11" t="s">
        <v>13</v>
      </c>
      <c r="D11" t="s">
        <v>14</v>
      </c>
      <c r="E11" t="s">
        <v>25</v>
      </c>
      <c r="F11">
        <v>4</v>
      </c>
      <c r="G11" s="2">
        <v>14808</v>
      </c>
      <c r="H11" s="2">
        <v>12065</v>
      </c>
      <c r="I11" s="2">
        <v>59232</v>
      </c>
      <c r="J11" s="2">
        <v>48260</v>
      </c>
      <c r="K11" s="2">
        <v>10972</v>
      </c>
      <c r="L11" s="3">
        <v>0.1852377093462993</v>
      </c>
    </row>
    <row r="12" spans="1:12" x14ac:dyDescent="0.35">
      <c r="A12" t="s">
        <v>35</v>
      </c>
      <c r="B12" s="1">
        <v>46041.255033557027</v>
      </c>
      <c r="C12" t="s">
        <v>19</v>
      </c>
      <c r="D12" t="s">
        <v>20</v>
      </c>
      <c r="E12" t="s">
        <v>30</v>
      </c>
      <c r="F12">
        <v>2</v>
      </c>
      <c r="G12" s="2">
        <v>8244</v>
      </c>
      <c r="H12" s="2">
        <v>5814</v>
      </c>
      <c r="I12" s="2">
        <v>16488</v>
      </c>
      <c r="J12" s="2">
        <v>11628</v>
      </c>
      <c r="K12" s="2">
        <v>4860</v>
      </c>
      <c r="L12" s="3">
        <v>0.29475982532751088</v>
      </c>
    </row>
    <row r="13" spans="1:12" x14ac:dyDescent="0.35">
      <c r="A13" t="s">
        <v>36</v>
      </c>
      <c r="B13" s="1">
        <v>46043.080536912741</v>
      </c>
      <c r="C13" t="s">
        <v>27</v>
      </c>
      <c r="D13" t="s">
        <v>14</v>
      </c>
      <c r="E13" t="s">
        <v>17</v>
      </c>
      <c r="F13">
        <v>4</v>
      </c>
      <c r="G13" s="2">
        <v>23653</v>
      </c>
      <c r="H13" s="2">
        <v>17561</v>
      </c>
      <c r="I13" s="2">
        <v>94612</v>
      </c>
      <c r="J13" s="2">
        <v>70244</v>
      </c>
      <c r="K13" s="2">
        <v>24368</v>
      </c>
      <c r="L13" s="3">
        <v>0.25755718090728452</v>
      </c>
    </row>
    <row r="14" spans="1:12" x14ac:dyDescent="0.35">
      <c r="A14" t="s">
        <v>37</v>
      </c>
      <c r="B14" s="1">
        <v>46044.906040268448</v>
      </c>
      <c r="C14" t="s">
        <v>33</v>
      </c>
      <c r="D14" t="s">
        <v>14</v>
      </c>
      <c r="E14" t="s">
        <v>15</v>
      </c>
      <c r="F14">
        <v>2</v>
      </c>
      <c r="G14" s="2">
        <v>28439</v>
      </c>
      <c r="H14" s="2">
        <v>23114</v>
      </c>
      <c r="I14" s="2">
        <v>56878</v>
      </c>
      <c r="J14" s="2">
        <v>46228</v>
      </c>
      <c r="K14" s="2">
        <v>10650</v>
      </c>
      <c r="L14" s="3">
        <v>0.18724287070572099</v>
      </c>
    </row>
    <row r="15" spans="1:12" x14ac:dyDescent="0.35">
      <c r="A15" t="s">
        <v>38</v>
      </c>
      <c r="B15" s="1">
        <v>46046.731543624162</v>
      </c>
      <c r="C15" t="s">
        <v>39</v>
      </c>
      <c r="D15" t="s">
        <v>23</v>
      </c>
      <c r="E15" t="s">
        <v>17</v>
      </c>
      <c r="F15">
        <v>6</v>
      </c>
      <c r="G15" s="2">
        <v>2318</v>
      </c>
      <c r="H15" s="2">
        <v>1371</v>
      </c>
      <c r="I15" s="2">
        <v>13908</v>
      </c>
      <c r="J15" s="2">
        <v>8226</v>
      </c>
      <c r="K15" s="2">
        <v>5682</v>
      </c>
      <c r="L15" s="3">
        <v>0.408541846419327</v>
      </c>
    </row>
    <row r="16" spans="1:12" x14ac:dyDescent="0.35">
      <c r="A16" t="s">
        <v>40</v>
      </c>
      <c r="B16" s="1">
        <v>46048.557046979862</v>
      </c>
      <c r="C16" t="s">
        <v>33</v>
      </c>
      <c r="D16" t="s">
        <v>14</v>
      </c>
      <c r="E16" t="s">
        <v>15</v>
      </c>
      <c r="F16">
        <v>7</v>
      </c>
      <c r="G16" s="2">
        <v>27358</v>
      </c>
      <c r="H16" s="2">
        <v>21422</v>
      </c>
      <c r="I16" s="2">
        <v>191506</v>
      </c>
      <c r="J16" s="2">
        <v>149954</v>
      </c>
      <c r="K16" s="2">
        <v>41552</v>
      </c>
      <c r="L16" s="3">
        <v>0.21697492506762189</v>
      </c>
    </row>
    <row r="17" spans="1:12" x14ac:dyDescent="0.35">
      <c r="A17" t="s">
        <v>41</v>
      </c>
      <c r="B17" s="1">
        <v>46050.382550335569</v>
      </c>
      <c r="C17" t="s">
        <v>42</v>
      </c>
      <c r="D17" t="s">
        <v>23</v>
      </c>
      <c r="E17" t="s">
        <v>15</v>
      </c>
      <c r="F17">
        <v>5</v>
      </c>
      <c r="G17" s="2">
        <v>1118</v>
      </c>
      <c r="H17" s="2">
        <v>688</v>
      </c>
      <c r="I17" s="2">
        <v>5590</v>
      </c>
      <c r="J17" s="2">
        <v>3440</v>
      </c>
      <c r="K17" s="2">
        <v>2150</v>
      </c>
      <c r="L17" s="3">
        <v>0.38461538461538458</v>
      </c>
    </row>
    <row r="18" spans="1:12" x14ac:dyDescent="0.35">
      <c r="A18" t="s">
        <v>43</v>
      </c>
      <c r="B18" s="1">
        <v>46052.208053691284</v>
      </c>
      <c r="C18" t="s">
        <v>39</v>
      </c>
      <c r="D18" t="s">
        <v>23</v>
      </c>
      <c r="E18" t="s">
        <v>17</v>
      </c>
      <c r="F18">
        <v>1</v>
      </c>
      <c r="G18" s="2">
        <v>2302</v>
      </c>
      <c r="H18" s="2">
        <v>1453</v>
      </c>
      <c r="I18" s="2">
        <v>2302</v>
      </c>
      <c r="J18" s="2">
        <v>1453</v>
      </c>
      <c r="K18" s="2">
        <v>849</v>
      </c>
      <c r="L18" s="3">
        <v>0.36880973066898348</v>
      </c>
    </row>
    <row r="19" spans="1:12" x14ac:dyDescent="0.35">
      <c r="A19" t="s">
        <v>44</v>
      </c>
      <c r="B19" s="1">
        <v>46054.033557046983</v>
      </c>
      <c r="C19" t="s">
        <v>45</v>
      </c>
      <c r="D19" t="s">
        <v>14</v>
      </c>
      <c r="E19" t="s">
        <v>15</v>
      </c>
      <c r="F19">
        <v>8</v>
      </c>
      <c r="G19" s="2">
        <v>57387</v>
      </c>
      <c r="H19" s="2">
        <v>40802</v>
      </c>
      <c r="I19" s="2">
        <v>459096</v>
      </c>
      <c r="J19" s="2">
        <v>326416</v>
      </c>
      <c r="K19" s="2">
        <v>132680</v>
      </c>
      <c r="L19" s="3">
        <v>0.28900273581124652</v>
      </c>
    </row>
    <row r="20" spans="1:12" x14ac:dyDescent="0.35">
      <c r="A20" t="s">
        <v>46</v>
      </c>
      <c r="B20" s="1">
        <v>46055.859060402683</v>
      </c>
      <c r="C20" t="s">
        <v>13</v>
      </c>
      <c r="D20" t="s">
        <v>14</v>
      </c>
      <c r="E20" t="s">
        <v>17</v>
      </c>
      <c r="F20">
        <v>2</v>
      </c>
      <c r="G20" s="2">
        <v>16930</v>
      </c>
      <c r="H20" s="2">
        <v>11670</v>
      </c>
      <c r="I20" s="2">
        <v>33860</v>
      </c>
      <c r="J20" s="2">
        <v>23340</v>
      </c>
      <c r="K20" s="2">
        <v>10520</v>
      </c>
      <c r="L20" s="3">
        <v>0.31069108092144121</v>
      </c>
    </row>
    <row r="21" spans="1:12" x14ac:dyDescent="0.35">
      <c r="A21" t="s">
        <v>47</v>
      </c>
      <c r="B21" s="1">
        <v>46057.684563758383</v>
      </c>
      <c r="C21" t="s">
        <v>33</v>
      </c>
      <c r="D21" t="s">
        <v>14</v>
      </c>
      <c r="E21" t="s">
        <v>17</v>
      </c>
      <c r="F21">
        <v>1</v>
      </c>
      <c r="G21" s="2">
        <v>27153</v>
      </c>
      <c r="H21" s="2">
        <v>21538</v>
      </c>
      <c r="I21" s="2">
        <v>27153</v>
      </c>
      <c r="J21" s="2">
        <v>21538</v>
      </c>
      <c r="K21" s="2">
        <v>5615</v>
      </c>
      <c r="L21" s="3">
        <v>0.20679114646632049</v>
      </c>
    </row>
    <row r="22" spans="1:12" x14ac:dyDescent="0.35">
      <c r="A22" t="s">
        <v>48</v>
      </c>
      <c r="B22" s="1">
        <v>46059.510067114083</v>
      </c>
      <c r="C22" t="s">
        <v>29</v>
      </c>
      <c r="D22" t="s">
        <v>14</v>
      </c>
      <c r="E22" t="s">
        <v>30</v>
      </c>
      <c r="F22">
        <v>4</v>
      </c>
      <c r="G22" s="2">
        <v>3717</v>
      </c>
      <c r="H22" s="2">
        <v>2193</v>
      </c>
      <c r="I22" s="2">
        <v>14868</v>
      </c>
      <c r="J22" s="2">
        <v>8772</v>
      </c>
      <c r="K22" s="2">
        <v>6096</v>
      </c>
      <c r="L22" s="3">
        <v>0.41000807102502018</v>
      </c>
    </row>
    <row r="23" spans="1:12" x14ac:dyDescent="0.35">
      <c r="A23" t="s">
        <v>49</v>
      </c>
      <c r="B23" s="1">
        <v>46061.33557046979</v>
      </c>
      <c r="C23" t="s">
        <v>50</v>
      </c>
      <c r="D23" t="s">
        <v>20</v>
      </c>
      <c r="E23" t="s">
        <v>15</v>
      </c>
      <c r="F23">
        <v>7</v>
      </c>
      <c r="G23" s="2">
        <v>12501</v>
      </c>
      <c r="H23" s="2">
        <v>8260</v>
      </c>
      <c r="I23" s="2">
        <v>87507</v>
      </c>
      <c r="J23" s="2">
        <v>57820</v>
      </c>
      <c r="K23" s="2">
        <v>29687</v>
      </c>
      <c r="L23" s="3">
        <v>0.33925285977121827</v>
      </c>
    </row>
    <row r="24" spans="1:12" x14ac:dyDescent="0.35">
      <c r="A24" t="s">
        <v>51</v>
      </c>
      <c r="B24" s="1">
        <v>46063.161073825497</v>
      </c>
      <c r="C24" t="s">
        <v>13</v>
      </c>
      <c r="D24" t="s">
        <v>14</v>
      </c>
      <c r="E24" t="s">
        <v>30</v>
      </c>
      <c r="F24">
        <v>3</v>
      </c>
      <c r="G24" s="2">
        <v>15815</v>
      </c>
      <c r="H24" s="2">
        <v>10845</v>
      </c>
      <c r="I24" s="2">
        <v>47445</v>
      </c>
      <c r="J24" s="2">
        <v>32535</v>
      </c>
      <c r="K24" s="2">
        <v>14910</v>
      </c>
      <c r="L24" s="3">
        <v>0.31425861523869741</v>
      </c>
    </row>
    <row r="25" spans="1:12" x14ac:dyDescent="0.35">
      <c r="A25" t="s">
        <v>52</v>
      </c>
      <c r="B25" s="1">
        <v>46064.986577181196</v>
      </c>
      <c r="C25" t="s">
        <v>29</v>
      </c>
      <c r="D25" t="s">
        <v>14</v>
      </c>
      <c r="E25" t="s">
        <v>15</v>
      </c>
      <c r="F25">
        <v>7</v>
      </c>
      <c r="G25" s="2">
        <v>3486</v>
      </c>
      <c r="H25" s="2">
        <v>2217</v>
      </c>
      <c r="I25" s="2">
        <v>24402</v>
      </c>
      <c r="J25" s="2">
        <v>15519</v>
      </c>
      <c r="K25" s="2">
        <v>8883</v>
      </c>
      <c r="L25" s="3">
        <v>0.36402753872633392</v>
      </c>
    </row>
    <row r="26" spans="1:12" x14ac:dyDescent="0.35">
      <c r="A26" t="s">
        <v>53</v>
      </c>
      <c r="B26" s="1">
        <v>46066.812080536911</v>
      </c>
      <c r="C26" t="s">
        <v>19</v>
      </c>
      <c r="D26" t="s">
        <v>20</v>
      </c>
      <c r="E26" t="s">
        <v>17</v>
      </c>
      <c r="F26">
        <v>6</v>
      </c>
      <c r="G26" s="2">
        <v>8642</v>
      </c>
      <c r="H26" s="2">
        <v>5828</v>
      </c>
      <c r="I26" s="2">
        <v>51852</v>
      </c>
      <c r="J26" s="2">
        <v>34968</v>
      </c>
      <c r="K26" s="2">
        <v>16884</v>
      </c>
      <c r="L26" s="3">
        <v>0.32561906965980097</v>
      </c>
    </row>
    <row r="27" spans="1:12" x14ac:dyDescent="0.35">
      <c r="A27" t="s">
        <v>54</v>
      </c>
      <c r="B27" s="1">
        <v>46068.637583892618</v>
      </c>
      <c r="C27" t="s">
        <v>19</v>
      </c>
      <c r="D27" t="s">
        <v>20</v>
      </c>
      <c r="E27" t="s">
        <v>17</v>
      </c>
      <c r="F27">
        <v>5</v>
      </c>
      <c r="G27" s="2">
        <v>8214</v>
      </c>
      <c r="H27" s="2">
        <v>5564</v>
      </c>
      <c r="I27" s="2">
        <v>41070</v>
      </c>
      <c r="J27" s="2">
        <v>27820</v>
      </c>
      <c r="K27" s="2">
        <v>13250</v>
      </c>
      <c r="L27" s="3">
        <v>0.32261991721451178</v>
      </c>
    </row>
    <row r="28" spans="1:12" x14ac:dyDescent="0.35">
      <c r="A28" t="s">
        <v>55</v>
      </c>
      <c r="B28" s="1">
        <v>46070.463087248318</v>
      </c>
      <c r="C28" t="s">
        <v>33</v>
      </c>
      <c r="D28" t="s">
        <v>14</v>
      </c>
      <c r="E28" t="s">
        <v>15</v>
      </c>
      <c r="F28">
        <v>2</v>
      </c>
      <c r="G28" s="2">
        <v>28598</v>
      </c>
      <c r="H28" s="2">
        <v>22981</v>
      </c>
      <c r="I28" s="2">
        <v>57196</v>
      </c>
      <c r="J28" s="2">
        <v>45962</v>
      </c>
      <c r="K28" s="2">
        <v>11234</v>
      </c>
      <c r="L28" s="3">
        <v>0.19641233652702991</v>
      </c>
    </row>
    <row r="29" spans="1:12" x14ac:dyDescent="0.35">
      <c r="A29" t="s">
        <v>56</v>
      </c>
      <c r="B29" s="1">
        <v>46072.288590604017</v>
      </c>
      <c r="C29" t="s">
        <v>19</v>
      </c>
      <c r="D29" t="s">
        <v>20</v>
      </c>
      <c r="E29" t="s">
        <v>15</v>
      </c>
      <c r="F29">
        <v>6</v>
      </c>
      <c r="G29" s="2">
        <v>8261</v>
      </c>
      <c r="H29" s="2">
        <v>5537</v>
      </c>
      <c r="I29" s="2">
        <v>49566</v>
      </c>
      <c r="J29" s="2">
        <v>33222</v>
      </c>
      <c r="K29" s="2">
        <v>16344</v>
      </c>
      <c r="L29" s="3">
        <v>0.3297421619658637</v>
      </c>
    </row>
    <row r="30" spans="1:12" x14ac:dyDescent="0.35">
      <c r="A30" t="s">
        <v>57</v>
      </c>
      <c r="B30" s="1">
        <v>46074.114093959717</v>
      </c>
      <c r="C30" t="s">
        <v>42</v>
      </c>
      <c r="D30" t="s">
        <v>23</v>
      </c>
      <c r="E30" t="s">
        <v>15</v>
      </c>
      <c r="F30">
        <v>7</v>
      </c>
      <c r="G30" s="2">
        <v>1156</v>
      </c>
      <c r="H30" s="2">
        <v>662</v>
      </c>
      <c r="I30" s="2">
        <v>8092</v>
      </c>
      <c r="J30" s="2">
        <v>4634</v>
      </c>
      <c r="K30" s="2">
        <v>3458</v>
      </c>
      <c r="L30" s="3">
        <v>0.4273356401384083</v>
      </c>
    </row>
    <row r="31" spans="1:12" x14ac:dyDescent="0.35">
      <c r="A31" t="s">
        <v>58</v>
      </c>
      <c r="B31" s="1">
        <v>46075.939597315431</v>
      </c>
      <c r="C31" t="s">
        <v>42</v>
      </c>
      <c r="D31" t="s">
        <v>23</v>
      </c>
      <c r="E31" t="s">
        <v>25</v>
      </c>
      <c r="F31">
        <v>4</v>
      </c>
      <c r="G31" s="2">
        <v>1163</v>
      </c>
      <c r="H31" s="2">
        <v>624</v>
      </c>
      <c r="I31" s="2">
        <v>4652</v>
      </c>
      <c r="J31" s="2">
        <v>2496</v>
      </c>
      <c r="K31" s="2">
        <v>2156</v>
      </c>
      <c r="L31" s="3">
        <v>0.46345657781599309</v>
      </c>
    </row>
    <row r="32" spans="1:12" x14ac:dyDescent="0.35">
      <c r="A32" t="s">
        <v>59</v>
      </c>
      <c r="B32" s="1">
        <v>46077.765100671131</v>
      </c>
      <c r="C32" t="s">
        <v>42</v>
      </c>
      <c r="D32" t="s">
        <v>23</v>
      </c>
      <c r="E32" t="s">
        <v>25</v>
      </c>
      <c r="F32">
        <v>6</v>
      </c>
      <c r="G32" s="2">
        <v>1127</v>
      </c>
      <c r="H32" s="2">
        <v>637</v>
      </c>
      <c r="I32" s="2">
        <v>6762</v>
      </c>
      <c r="J32" s="2">
        <v>3822</v>
      </c>
      <c r="K32" s="2">
        <v>2940</v>
      </c>
      <c r="L32" s="3">
        <v>0.43478260869565222</v>
      </c>
    </row>
    <row r="33" spans="1:12" x14ac:dyDescent="0.35">
      <c r="A33" t="s">
        <v>60</v>
      </c>
      <c r="B33" s="1">
        <v>46079.590604026838</v>
      </c>
      <c r="C33" t="s">
        <v>22</v>
      </c>
      <c r="D33" t="s">
        <v>23</v>
      </c>
      <c r="E33" t="s">
        <v>30</v>
      </c>
      <c r="F33">
        <v>8</v>
      </c>
      <c r="G33" s="2">
        <v>1858</v>
      </c>
      <c r="H33" s="2">
        <v>984</v>
      </c>
      <c r="I33" s="2">
        <v>14864</v>
      </c>
      <c r="J33" s="2">
        <v>7872</v>
      </c>
      <c r="K33" s="2">
        <v>6992</v>
      </c>
      <c r="L33" s="3">
        <v>0.47039827771797632</v>
      </c>
    </row>
    <row r="34" spans="1:12" x14ac:dyDescent="0.35">
      <c r="A34" t="s">
        <v>61</v>
      </c>
      <c r="B34" s="1">
        <v>46081.416107382553</v>
      </c>
      <c r="C34" t="s">
        <v>45</v>
      </c>
      <c r="D34" t="s">
        <v>14</v>
      </c>
      <c r="E34" t="s">
        <v>15</v>
      </c>
      <c r="F34">
        <v>2</v>
      </c>
      <c r="G34" s="2">
        <v>52816</v>
      </c>
      <c r="H34" s="2">
        <v>42986</v>
      </c>
      <c r="I34" s="2">
        <v>105632</v>
      </c>
      <c r="J34" s="2">
        <v>85972</v>
      </c>
      <c r="K34" s="2">
        <v>19660</v>
      </c>
      <c r="L34" s="3">
        <v>0.1861178430778552</v>
      </c>
    </row>
    <row r="35" spans="1:12" x14ac:dyDescent="0.35">
      <c r="A35" t="s">
        <v>62</v>
      </c>
      <c r="B35" s="1">
        <v>46083.241610738252</v>
      </c>
      <c r="C35" t="s">
        <v>45</v>
      </c>
      <c r="D35" t="s">
        <v>14</v>
      </c>
      <c r="E35" t="s">
        <v>25</v>
      </c>
      <c r="F35">
        <v>5</v>
      </c>
      <c r="G35" s="2">
        <v>50925</v>
      </c>
      <c r="H35" s="2">
        <v>43565</v>
      </c>
      <c r="I35" s="2">
        <v>254625</v>
      </c>
      <c r="J35" s="2">
        <v>217825</v>
      </c>
      <c r="K35" s="2">
        <v>36800</v>
      </c>
      <c r="L35" s="3">
        <v>0.14452626411389299</v>
      </c>
    </row>
    <row r="36" spans="1:12" x14ac:dyDescent="0.35">
      <c r="A36" t="s">
        <v>63</v>
      </c>
      <c r="B36" s="1">
        <v>46085.067114093959</v>
      </c>
      <c r="C36" t="s">
        <v>33</v>
      </c>
      <c r="D36" t="s">
        <v>14</v>
      </c>
      <c r="E36" t="s">
        <v>17</v>
      </c>
      <c r="F36">
        <v>4</v>
      </c>
      <c r="G36" s="2">
        <v>27008</v>
      </c>
      <c r="H36" s="2">
        <v>23078</v>
      </c>
      <c r="I36" s="2">
        <v>108032</v>
      </c>
      <c r="J36" s="2">
        <v>92312</v>
      </c>
      <c r="K36" s="2">
        <v>15720</v>
      </c>
      <c r="L36" s="3">
        <v>0.14551244075829381</v>
      </c>
    </row>
    <row r="37" spans="1:12" x14ac:dyDescent="0.35">
      <c r="A37" t="s">
        <v>64</v>
      </c>
      <c r="B37" s="1">
        <v>46086.892617449666</v>
      </c>
      <c r="C37" t="s">
        <v>29</v>
      </c>
      <c r="D37" t="s">
        <v>14</v>
      </c>
      <c r="E37" t="s">
        <v>17</v>
      </c>
      <c r="F37">
        <v>6</v>
      </c>
      <c r="G37" s="2">
        <v>3494</v>
      </c>
      <c r="H37" s="2">
        <v>2328</v>
      </c>
      <c r="I37" s="2">
        <v>20964</v>
      </c>
      <c r="J37" s="2">
        <v>13968</v>
      </c>
      <c r="K37" s="2">
        <v>6996</v>
      </c>
      <c r="L37" s="3">
        <v>0.33371493989696621</v>
      </c>
    </row>
    <row r="38" spans="1:12" x14ac:dyDescent="0.35">
      <c r="A38" t="s">
        <v>65</v>
      </c>
      <c r="B38" s="1">
        <v>46088.718120805359</v>
      </c>
      <c r="C38" t="s">
        <v>13</v>
      </c>
      <c r="D38" t="s">
        <v>14</v>
      </c>
      <c r="E38" t="s">
        <v>17</v>
      </c>
      <c r="F38">
        <v>4</v>
      </c>
      <c r="G38" s="2">
        <v>15666</v>
      </c>
      <c r="H38" s="2">
        <v>11144</v>
      </c>
      <c r="I38" s="2">
        <v>62664</v>
      </c>
      <c r="J38" s="2">
        <v>44576</v>
      </c>
      <c r="K38" s="2">
        <v>18088</v>
      </c>
      <c r="L38" s="3">
        <v>0.28865058087578188</v>
      </c>
    </row>
    <row r="39" spans="1:12" x14ac:dyDescent="0.35">
      <c r="A39" t="s">
        <v>66</v>
      </c>
      <c r="B39" s="1">
        <v>46090.543624161073</v>
      </c>
      <c r="C39" t="s">
        <v>22</v>
      </c>
      <c r="D39" t="s">
        <v>23</v>
      </c>
      <c r="E39" t="s">
        <v>25</v>
      </c>
      <c r="F39">
        <v>8</v>
      </c>
      <c r="G39" s="2">
        <v>1939</v>
      </c>
      <c r="H39" s="2">
        <v>988</v>
      </c>
      <c r="I39" s="2">
        <v>15512</v>
      </c>
      <c r="J39" s="2">
        <v>7904</v>
      </c>
      <c r="K39" s="2">
        <v>7608</v>
      </c>
      <c r="L39" s="3">
        <v>0.49045899948427019</v>
      </c>
    </row>
    <row r="40" spans="1:12" x14ac:dyDescent="0.35">
      <c r="A40" t="s">
        <v>67</v>
      </c>
      <c r="B40" s="1">
        <v>46092.369127516773</v>
      </c>
      <c r="C40" t="s">
        <v>45</v>
      </c>
      <c r="D40" t="s">
        <v>14</v>
      </c>
      <c r="E40" t="s">
        <v>25</v>
      </c>
      <c r="F40">
        <v>1</v>
      </c>
      <c r="G40" s="2">
        <v>52241</v>
      </c>
      <c r="H40" s="2">
        <v>40630</v>
      </c>
      <c r="I40" s="2">
        <v>52241</v>
      </c>
      <c r="J40" s="2">
        <v>40630</v>
      </c>
      <c r="K40" s="2">
        <v>11611</v>
      </c>
      <c r="L40" s="3">
        <v>0.2222583794337781</v>
      </c>
    </row>
    <row r="41" spans="1:12" x14ac:dyDescent="0.35">
      <c r="A41" t="s">
        <v>68</v>
      </c>
      <c r="B41" s="1">
        <v>46094.19463087248</v>
      </c>
      <c r="C41" t="s">
        <v>19</v>
      </c>
      <c r="D41" t="s">
        <v>20</v>
      </c>
      <c r="E41" t="s">
        <v>30</v>
      </c>
      <c r="F41">
        <v>4</v>
      </c>
      <c r="G41" s="2">
        <v>7843</v>
      </c>
      <c r="H41" s="2">
        <v>5808</v>
      </c>
      <c r="I41" s="2">
        <v>31372</v>
      </c>
      <c r="J41" s="2">
        <v>23232</v>
      </c>
      <c r="K41" s="2">
        <v>8140</v>
      </c>
      <c r="L41" s="3">
        <v>0.2594670406732118</v>
      </c>
    </row>
    <row r="42" spans="1:12" x14ac:dyDescent="0.35">
      <c r="A42" t="s">
        <v>69</v>
      </c>
      <c r="B42" s="1">
        <v>46096.02013422818</v>
      </c>
      <c r="C42" t="s">
        <v>29</v>
      </c>
      <c r="D42" t="s">
        <v>14</v>
      </c>
      <c r="E42" t="s">
        <v>30</v>
      </c>
      <c r="F42">
        <v>4</v>
      </c>
      <c r="G42" s="2">
        <v>3318</v>
      </c>
      <c r="H42" s="2">
        <v>2250</v>
      </c>
      <c r="I42" s="2">
        <v>13272</v>
      </c>
      <c r="J42" s="2">
        <v>9000</v>
      </c>
      <c r="K42" s="2">
        <v>4272</v>
      </c>
      <c r="L42" s="3">
        <v>0.32188065099457502</v>
      </c>
    </row>
    <row r="43" spans="1:12" x14ac:dyDescent="0.35">
      <c r="A43" t="s">
        <v>70</v>
      </c>
      <c r="B43" s="1">
        <v>46097.845637583887</v>
      </c>
      <c r="C43" t="s">
        <v>13</v>
      </c>
      <c r="D43" t="s">
        <v>14</v>
      </c>
      <c r="E43" t="s">
        <v>15</v>
      </c>
      <c r="F43">
        <v>2</v>
      </c>
      <c r="G43" s="2">
        <v>16450</v>
      </c>
      <c r="H43" s="2">
        <v>11825</v>
      </c>
      <c r="I43" s="2">
        <v>32900</v>
      </c>
      <c r="J43" s="2">
        <v>23650</v>
      </c>
      <c r="K43" s="2">
        <v>9250</v>
      </c>
      <c r="L43" s="3">
        <v>0.28115501519756841</v>
      </c>
    </row>
    <row r="44" spans="1:12" x14ac:dyDescent="0.35">
      <c r="A44" t="s">
        <v>71</v>
      </c>
      <c r="B44" s="1">
        <v>46099.671140939587</v>
      </c>
      <c r="C44" t="s">
        <v>33</v>
      </c>
      <c r="D44" t="s">
        <v>14</v>
      </c>
      <c r="E44" t="s">
        <v>30</v>
      </c>
      <c r="F44">
        <v>7</v>
      </c>
      <c r="G44" s="2">
        <v>28877</v>
      </c>
      <c r="H44" s="2">
        <v>21283</v>
      </c>
      <c r="I44" s="2">
        <v>202139</v>
      </c>
      <c r="J44" s="2">
        <v>148981</v>
      </c>
      <c r="K44" s="2">
        <v>53158</v>
      </c>
      <c r="L44" s="3">
        <v>0.26297745610693629</v>
      </c>
    </row>
    <row r="45" spans="1:12" x14ac:dyDescent="0.35">
      <c r="A45" t="s">
        <v>72</v>
      </c>
      <c r="B45" s="1">
        <v>46101.496644295301</v>
      </c>
      <c r="C45" t="s">
        <v>27</v>
      </c>
      <c r="D45" t="s">
        <v>14</v>
      </c>
      <c r="E45" t="s">
        <v>30</v>
      </c>
      <c r="F45">
        <v>8</v>
      </c>
      <c r="G45" s="2">
        <v>22104</v>
      </c>
      <c r="H45" s="2">
        <v>16473</v>
      </c>
      <c r="I45" s="2">
        <v>176832</v>
      </c>
      <c r="J45" s="2">
        <v>131784</v>
      </c>
      <c r="K45" s="2">
        <v>45048</v>
      </c>
      <c r="L45" s="3">
        <v>0.25475027144408252</v>
      </c>
    </row>
    <row r="46" spans="1:12" x14ac:dyDescent="0.35">
      <c r="A46" t="s">
        <v>73</v>
      </c>
      <c r="B46" s="1">
        <v>46103.322147650993</v>
      </c>
      <c r="C46" t="s">
        <v>50</v>
      </c>
      <c r="D46" t="s">
        <v>20</v>
      </c>
      <c r="E46" t="s">
        <v>15</v>
      </c>
      <c r="F46">
        <v>5</v>
      </c>
      <c r="G46" s="2">
        <v>11402</v>
      </c>
      <c r="H46" s="2">
        <v>7982</v>
      </c>
      <c r="I46" s="2">
        <v>57010</v>
      </c>
      <c r="J46" s="2">
        <v>39910</v>
      </c>
      <c r="K46" s="2">
        <v>17100</v>
      </c>
      <c r="L46" s="3">
        <v>0.2999473776530433</v>
      </c>
    </row>
    <row r="47" spans="1:12" x14ac:dyDescent="0.35">
      <c r="A47" t="s">
        <v>74</v>
      </c>
      <c r="B47" s="1">
        <v>46105.1476510067</v>
      </c>
      <c r="C47" t="s">
        <v>29</v>
      </c>
      <c r="D47" t="s">
        <v>14</v>
      </c>
      <c r="E47" t="s">
        <v>15</v>
      </c>
      <c r="F47">
        <v>8</v>
      </c>
      <c r="G47" s="2">
        <v>3700</v>
      </c>
      <c r="H47" s="2">
        <v>2175</v>
      </c>
      <c r="I47" s="2">
        <v>29600</v>
      </c>
      <c r="J47" s="2">
        <v>17400</v>
      </c>
      <c r="K47" s="2">
        <v>12200</v>
      </c>
      <c r="L47" s="3">
        <v>0.41216216216216223</v>
      </c>
    </row>
    <row r="48" spans="1:12" x14ac:dyDescent="0.35">
      <c r="A48" t="s">
        <v>75</v>
      </c>
      <c r="B48" s="1">
        <v>46106.973154362408</v>
      </c>
      <c r="C48" t="s">
        <v>45</v>
      </c>
      <c r="D48" t="s">
        <v>14</v>
      </c>
      <c r="E48" t="s">
        <v>15</v>
      </c>
      <c r="F48">
        <v>8</v>
      </c>
      <c r="G48" s="2">
        <v>58834</v>
      </c>
      <c r="H48" s="2">
        <v>44472</v>
      </c>
      <c r="I48" s="2">
        <v>470672</v>
      </c>
      <c r="J48" s="2">
        <v>355776</v>
      </c>
      <c r="K48" s="2">
        <v>114896</v>
      </c>
      <c r="L48" s="3">
        <v>0.24411054832239859</v>
      </c>
    </row>
    <row r="49" spans="1:12" x14ac:dyDescent="0.35">
      <c r="A49" t="s">
        <v>76</v>
      </c>
      <c r="B49" s="1">
        <v>46108.798657718107</v>
      </c>
      <c r="C49" t="s">
        <v>39</v>
      </c>
      <c r="D49" t="s">
        <v>23</v>
      </c>
      <c r="E49" t="s">
        <v>30</v>
      </c>
      <c r="F49">
        <v>4</v>
      </c>
      <c r="G49" s="2">
        <v>2449</v>
      </c>
      <c r="H49" s="2">
        <v>1474</v>
      </c>
      <c r="I49" s="2">
        <v>9796</v>
      </c>
      <c r="J49" s="2">
        <v>5896</v>
      </c>
      <c r="K49" s="2">
        <v>3900</v>
      </c>
      <c r="L49" s="3">
        <v>0.398121682319314</v>
      </c>
    </row>
    <row r="50" spans="1:12" x14ac:dyDescent="0.35">
      <c r="A50" t="s">
        <v>77</v>
      </c>
      <c r="B50" s="1">
        <v>46110.624161073822</v>
      </c>
      <c r="C50" t="s">
        <v>42</v>
      </c>
      <c r="D50" t="s">
        <v>23</v>
      </c>
      <c r="E50" t="s">
        <v>25</v>
      </c>
      <c r="F50">
        <v>5</v>
      </c>
      <c r="G50" s="2">
        <v>1163</v>
      </c>
      <c r="H50" s="2">
        <v>649</v>
      </c>
      <c r="I50" s="2">
        <v>5815</v>
      </c>
      <c r="J50" s="2">
        <v>3245</v>
      </c>
      <c r="K50" s="2">
        <v>2570</v>
      </c>
      <c r="L50" s="3">
        <v>0.44196044711951848</v>
      </c>
    </row>
    <row r="51" spans="1:12" x14ac:dyDescent="0.35">
      <c r="A51" t="s">
        <v>78</v>
      </c>
      <c r="B51" s="1">
        <v>46112.449664429529</v>
      </c>
      <c r="C51" t="s">
        <v>29</v>
      </c>
      <c r="D51" t="s">
        <v>14</v>
      </c>
      <c r="E51" t="s">
        <v>15</v>
      </c>
      <c r="F51">
        <v>8</v>
      </c>
      <c r="G51" s="2">
        <v>3319</v>
      </c>
      <c r="H51" s="2">
        <v>2073</v>
      </c>
      <c r="I51" s="2">
        <v>26552</v>
      </c>
      <c r="J51" s="2">
        <v>16584</v>
      </c>
      <c r="K51" s="2">
        <v>9968</v>
      </c>
      <c r="L51" s="3">
        <v>0.37541428141006328</v>
      </c>
    </row>
    <row r="52" spans="1:12" x14ac:dyDescent="0.35">
      <c r="A52" t="s">
        <v>79</v>
      </c>
      <c r="B52" s="1">
        <v>46114.275167785228</v>
      </c>
      <c r="C52" t="s">
        <v>50</v>
      </c>
      <c r="D52" t="s">
        <v>20</v>
      </c>
      <c r="E52" t="s">
        <v>15</v>
      </c>
      <c r="F52">
        <v>8</v>
      </c>
      <c r="G52" s="2">
        <v>12287</v>
      </c>
      <c r="H52" s="2">
        <v>8544</v>
      </c>
      <c r="I52" s="2">
        <v>98296</v>
      </c>
      <c r="J52" s="2">
        <v>68352</v>
      </c>
      <c r="K52" s="2">
        <v>29944</v>
      </c>
      <c r="L52" s="3">
        <v>0.30463091071864568</v>
      </c>
    </row>
    <row r="53" spans="1:12" x14ac:dyDescent="0.35">
      <c r="A53" t="s">
        <v>80</v>
      </c>
      <c r="B53" s="1">
        <v>46116.100671140943</v>
      </c>
      <c r="C53" t="s">
        <v>45</v>
      </c>
      <c r="D53" t="s">
        <v>14</v>
      </c>
      <c r="E53" t="s">
        <v>30</v>
      </c>
      <c r="F53">
        <v>8</v>
      </c>
      <c r="G53" s="2">
        <v>51424</v>
      </c>
      <c r="H53" s="2">
        <v>42317</v>
      </c>
      <c r="I53" s="2">
        <v>411392</v>
      </c>
      <c r="J53" s="2">
        <v>338536</v>
      </c>
      <c r="K53" s="2">
        <v>72856</v>
      </c>
      <c r="L53" s="3">
        <v>0.17709629744866209</v>
      </c>
    </row>
    <row r="54" spans="1:12" x14ac:dyDescent="0.35">
      <c r="A54" t="s">
        <v>81</v>
      </c>
      <c r="B54" s="1">
        <v>46117.926174496642</v>
      </c>
      <c r="C54" t="s">
        <v>13</v>
      </c>
      <c r="D54" t="s">
        <v>14</v>
      </c>
      <c r="E54" t="s">
        <v>25</v>
      </c>
      <c r="F54">
        <v>6</v>
      </c>
      <c r="G54" s="2">
        <v>17211</v>
      </c>
      <c r="H54" s="2">
        <v>11352</v>
      </c>
      <c r="I54" s="2">
        <v>103266</v>
      </c>
      <c r="J54" s="2">
        <v>68112</v>
      </c>
      <c r="K54" s="2">
        <v>35154</v>
      </c>
      <c r="L54" s="3">
        <v>0.34042182325257098</v>
      </c>
    </row>
    <row r="55" spans="1:12" x14ac:dyDescent="0.35">
      <c r="A55" t="s">
        <v>82</v>
      </c>
      <c r="B55" s="1">
        <v>46119.751677852328</v>
      </c>
      <c r="C55" t="s">
        <v>22</v>
      </c>
      <c r="D55" t="s">
        <v>23</v>
      </c>
      <c r="E55" t="s">
        <v>30</v>
      </c>
      <c r="F55">
        <v>8</v>
      </c>
      <c r="G55" s="2">
        <v>1885</v>
      </c>
      <c r="H55" s="2">
        <v>1000</v>
      </c>
      <c r="I55" s="2">
        <v>15080</v>
      </c>
      <c r="J55" s="2">
        <v>8000</v>
      </c>
      <c r="K55" s="2">
        <v>7080</v>
      </c>
      <c r="L55" s="3">
        <v>0.46949602122015921</v>
      </c>
    </row>
    <row r="56" spans="1:12" x14ac:dyDescent="0.35">
      <c r="A56" t="s">
        <v>83</v>
      </c>
      <c r="B56" s="1">
        <v>46121.577181208042</v>
      </c>
      <c r="C56" t="s">
        <v>45</v>
      </c>
      <c r="D56" t="s">
        <v>14</v>
      </c>
      <c r="E56" t="s">
        <v>25</v>
      </c>
      <c r="F56">
        <v>5</v>
      </c>
      <c r="G56" s="2">
        <v>54993</v>
      </c>
      <c r="H56" s="2">
        <v>43372</v>
      </c>
      <c r="I56" s="2">
        <v>274965</v>
      </c>
      <c r="J56" s="2">
        <v>216860</v>
      </c>
      <c r="K56" s="2">
        <v>58105</v>
      </c>
      <c r="L56" s="3">
        <v>0.21131780408415621</v>
      </c>
    </row>
    <row r="57" spans="1:12" x14ac:dyDescent="0.35">
      <c r="A57" t="s">
        <v>84</v>
      </c>
      <c r="B57" s="1">
        <v>46123.402684563749</v>
      </c>
      <c r="C57" t="s">
        <v>45</v>
      </c>
      <c r="D57" t="s">
        <v>14</v>
      </c>
      <c r="E57" t="s">
        <v>17</v>
      </c>
      <c r="F57">
        <v>8</v>
      </c>
      <c r="G57" s="2">
        <v>58876</v>
      </c>
      <c r="H57" s="2">
        <v>45342</v>
      </c>
      <c r="I57" s="2">
        <v>471008</v>
      </c>
      <c r="J57" s="2">
        <v>362736</v>
      </c>
      <c r="K57" s="2">
        <v>108272</v>
      </c>
      <c r="L57" s="3">
        <v>0.22987295332563351</v>
      </c>
    </row>
    <row r="58" spans="1:12" x14ac:dyDescent="0.35">
      <c r="A58" t="s">
        <v>85</v>
      </c>
      <c r="B58" s="1">
        <v>46125.228187919463</v>
      </c>
      <c r="C58" t="s">
        <v>50</v>
      </c>
      <c r="D58" t="s">
        <v>20</v>
      </c>
      <c r="E58" t="s">
        <v>25</v>
      </c>
      <c r="F58">
        <v>6</v>
      </c>
      <c r="G58" s="2">
        <v>11070</v>
      </c>
      <c r="H58" s="2">
        <v>8621</v>
      </c>
      <c r="I58" s="2">
        <v>66420</v>
      </c>
      <c r="J58" s="2">
        <v>51726</v>
      </c>
      <c r="K58" s="2">
        <v>14694</v>
      </c>
      <c r="L58" s="3">
        <v>0.22122854561878949</v>
      </c>
    </row>
    <row r="59" spans="1:12" x14ac:dyDescent="0.35">
      <c r="A59" t="s">
        <v>86</v>
      </c>
      <c r="B59" s="1">
        <v>46127.053691275163</v>
      </c>
      <c r="C59" t="s">
        <v>45</v>
      </c>
      <c r="D59" t="s">
        <v>14</v>
      </c>
      <c r="E59" t="s">
        <v>15</v>
      </c>
      <c r="F59">
        <v>6</v>
      </c>
      <c r="G59" s="2">
        <v>59080</v>
      </c>
      <c r="H59" s="2">
        <v>44822</v>
      </c>
      <c r="I59" s="2">
        <v>354480</v>
      </c>
      <c r="J59" s="2">
        <v>268932</v>
      </c>
      <c r="K59" s="2">
        <v>85548</v>
      </c>
      <c r="L59" s="3">
        <v>0.24133378469871361</v>
      </c>
    </row>
    <row r="60" spans="1:12" x14ac:dyDescent="0.35">
      <c r="A60" t="s">
        <v>87</v>
      </c>
      <c r="B60" s="1">
        <v>46128.87919463087</v>
      </c>
      <c r="C60" t="s">
        <v>50</v>
      </c>
      <c r="D60" t="s">
        <v>20</v>
      </c>
      <c r="E60" t="s">
        <v>15</v>
      </c>
      <c r="F60">
        <v>8</v>
      </c>
      <c r="G60" s="2">
        <v>11648</v>
      </c>
      <c r="H60" s="2">
        <v>7875</v>
      </c>
      <c r="I60" s="2">
        <v>93184</v>
      </c>
      <c r="J60" s="2">
        <v>63000</v>
      </c>
      <c r="K60" s="2">
        <v>30184</v>
      </c>
      <c r="L60" s="3">
        <v>0.32391826923076922</v>
      </c>
    </row>
    <row r="61" spans="1:12" x14ac:dyDescent="0.35">
      <c r="A61" t="s">
        <v>88</v>
      </c>
      <c r="B61" s="1">
        <v>46130.704697986577</v>
      </c>
      <c r="C61" t="s">
        <v>42</v>
      </c>
      <c r="D61" t="s">
        <v>23</v>
      </c>
      <c r="E61" t="s">
        <v>15</v>
      </c>
      <c r="F61">
        <v>2</v>
      </c>
      <c r="G61" s="2">
        <v>1238</v>
      </c>
      <c r="H61" s="2">
        <v>655</v>
      </c>
      <c r="I61" s="2">
        <v>2476</v>
      </c>
      <c r="J61" s="2">
        <v>1310</v>
      </c>
      <c r="K61" s="2">
        <v>1166</v>
      </c>
      <c r="L61" s="3">
        <v>0.47092084006462043</v>
      </c>
    </row>
    <row r="62" spans="1:12" x14ac:dyDescent="0.35">
      <c r="A62" t="s">
        <v>89</v>
      </c>
      <c r="B62" s="1">
        <v>46132.530201342277</v>
      </c>
      <c r="C62" t="s">
        <v>39</v>
      </c>
      <c r="D62" t="s">
        <v>23</v>
      </c>
      <c r="E62" t="s">
        <v>30</v>
      </c>
      <c r="F62">
        <v>2</v>
      </c>
      <c r="G62" s="2">
        <v>2696</v>
      </c>
      <c r="H62" s="2">
        <v>1340</v>
      </c>
      <c r="I62" s="2">
        <v>5392</v>
      </c>
      <c r="J62" s="2">
        <v>2680</v>
      </c>
      <c r="K62" s="2">
        <v>2712</v>
      </c>
      <c r="L62" s="3">
        <v>0.5029673590504451</v>
      </c>
    </row>
    <row r="63" spans="1:12" x14ac:dyDescent="0.35">
      <c r="A63" t="s">
        <v>90</v>
      </c>
      <c r="B63" s="1">
        <v>46134.355704697977</v>
      </c>
      <c r="C63" t="s">
        <v>27</v>
      </c>
      <c r="D63" t="s">
        <v>14</v>
      </c>
      <c r="E63" t="s">
        <v>25</v>
      </c>
      <c r="F63">
        <v>2</v>
      </c>
      <c r="G63" s="2">
        <v>23227</v>
      </c>
      <c r="H63" s="2">
        <v>16259</v>
      </c>
      <c r="I63" s="2">
        <v>46454</v>
      </c>
      <c r="J63" s="2">
        <v>32518</v>
      </c>
      <c r="K63" s="2">
        <v>13936</v>
      </c>
      <c r="L63" s="3">
        <v>0.29999569466569082</v>
      </c>
    </row>
    <row r="64" spans="1:12" x14ac:dyDescent="0.35">
      <c r="A64" t="s">
        <v>91</v>
      </c>
      <c r="B64" s="1">
        <v>46136.181208053677</v>
      </c>
      <c r="C64" t="s">
        <v>22</v>
      </c>
      <c r="D64" t="s">
        <v>23</v>
      </c>
      <c r="E64" t="s">
        <v>30</v>
      </c>
      <c r="F64">
        <v>8</v>
      </c>
      <c r="G64" s="2">
        <v>1741</v>
      </c>
      <c r="H64" s="2">
        <v>990</v>
      </c>
      <c r="I64" s="2">
        <v>13928</v>
      </c>
      <c r="J64" s="2">
        <v>7920</v>
      </c>
      <c r="K64" s="2">
        <v>6008</v>
      </c>
      <c r="L64" s="3">
        <v>0.43136128661688677</v>
      </c>
    </row>
    <row r="65" spans="1:12" x14ac:dyDescent="0.35">
      <c r="A65" t="s">
        <v>92</v>
      </c>
      <c r="B65" s="1">
        <v>46138.006711409384</v>
      </c>
      <c r="C65" t="s">
        <v>33</v>
      </c>
      <c r="D65" t="s">
        <v>14</v>
      </c>
      <c r="E65" t="s">
        <v>30</v>
      </c>
      <c r="F65">
        <v>1</v>
      </c>
      <c r="G65" s="2">
        <v>26126</v>
      </c>
      <c r="H65" s="2">
        <v>20694</v>
      </c>
      <c r="I65" s="2">
        <v>26126</v>
      </c>
      <c r="J65" s="2">
        <v>20694</v>
      </c>
      <c r="K65" s="2">
        <v>5432</v>
      </c>
      <c r="L65" s="3">
        <v>0.20791548648855551</v>
      </c>
    </row>
    <row r="66" spans="1:12" x14ac:dyDescent="0.35">
      <c r="A66" t="s">
        <v>93</v>
      </c>
      <c r="B66" s="1">
        <v>46139.832214765091</v>
      </c>
      <c r="C66" t="s">
        <v>19</v>
      </c>
      <c r="D66" t="s">
        <v>20</v>
      </c>
      <c r="E66" t="s">
        <v>17</v>
      </c>
      <c r="F66">
        <v>5</v>
      </c>
      <c r="G66" s="2">
        <v>7916</v>
      </c>
      <c r="H66" s="2">
        <v>5728</v>
      </c>
      <c r="I66" s="2">
        <v>39580</v>
      </c>
      <c r="J66" s="2">
        <v>28640</v>
      </c>
      <c r="K66" s="2">
        <v>10940</v>
      </c>
      <c r="L66" s="3">
        <v>0.27640222334512382</v>
      </c>
    </row>
    <row r="67" spans="1:12" x14ac:dyDescent="0.35">
      <c r="A67" t="s">
        <v>94</v>
      </c>
      <c r="B67" s="1">
        <v>46141.657718120798</v>
      </c>
      <c r="C67" t="s">
        <v>29</v>
      </c>
      <c r="D67" t="s">
        <v>14</v>
      </c>
      <c r="E67" t="s">
        <v>17</v>
      </c>
      <c r="F67">
        <v>7</v>
      </c>
      <c r="G67" s="2">
        <v>3544</v>
      </c>
      <c r="H67" s="2">
        <v>2184</v>
      </c>
      <c r="I67" s="2">
        <v>24808</v>
      </c>
      <c r="J67" s="2">
        <v>15288</v>
      </c>
      <c r="K67" s="2">
        <v>9520</v>
      </c>
      <c r="L67" s="3">
        <v>0.38374717832957111</v>
      </c>
    </row>
    <row r="68" spans="1:12" x14ac:dyDescent="0.35">
      <c r="A68" t="s">
        <v>95</v>
      </c>
      <c r="B68" s="1">
        <v>46143.483221476497</v>
      </c>
      <c r="C68" t="s">
        <v>22</v>
      </c>
      <c r="D68" t="s">
        <v>23</v>
      </c>
      <c r="E68" t="s">
        <v>25</v>
      </c>
      <c r="F68">
        <v>3</v>
      </c>
      <c r="G68" s="2">
        <v>1812</v>
      </c>
      <c r="H68" s="2">
        <v>974</v>
      </c>
      <c r="I68" s="2">
        <v>5436</v>
      </c>
      <c r="J68" s="2">
        <v>2922</v>
      </c>
      <c r="K68" s="2">
        <v>2514</v>
      </c>
      <c r="L68" s="3">
        <v>0.46247240618101543</v>
      </c>
    </row>
    <row r="69" spans="1:12" x14ac:dyDescent="0.35">
      <c r="A69" t="s">
        <v>96</v>
      </c>
      <c r="B69" s="1">
        <v>46145.308724832212</v>
      </c>
      <c r="C69" t="s">
        <v>27</v>
      </c>
      <c r="D69" t="s">
        <v>14</v>
      </c>
      <c r="E69" t="s">
        <v>17</v>
      </c>
      <c r="F69">
        <v>2</v>
      </c>
      <c r="G69" s="2">
        <v>20371</v>
      </c>
      <c r="H69" s="2">
        <v>17658</v>
      </c>
      <c r="I69" s="2">
        <v>40742</v>
      </c>
      <c r="J69" s="2">
        <v>35316</v>
      </c>
      <c r="K69" s="2">
        <v>5426</v>
      </c>
      <c r="L69" s="3">
        <v>0.13317951990574839</v>
      </c>
    </row>
    <row r="70" spans="1:12" x14ac:dyDescent="0.35">
      <c r="A70" t="s">
        <v>97</v>
      </c>
      <c r="B70" s="1">
        <v>46147.134228187919</v>
      </c>
      <c r="C70" t="s">
        <v>22</v>
      </c>
      <c r="D70" t="s">
        <v>23</v>
      </c>
      <c r="E70" t="s">
        <v>17</v>
      </c>
      <c r="F70">
        <v>3</v>
      </c>
      <c r="G70" s="2">
        <v>1806</v>
      </c>
      <c r="H70" s="2">
        <v>1032</v>
      </c>
      <c r="I70" s="2">
        <v>5418</v>
      </c>
      <c r="J70" s="2">
        <v>3096</v>
      </c>
      <c r="K70" s="2">
        <v>2322</v>
      </c>
      <c r="L70" s="3">
        <v>0.42857142857142849</v>
      </c>
    </row>
    <row r="71" spans="1:12" x14ac:dyDescent="0.35">
      <c r="A71" t="s">
        <v>98</v>
      </c>
      <c r="B71" s="1">
        <v>46148.959731543633</v>
      </c>
      <c r="C71" t="s">
        <v>50</v>
      </c>
      <c r="D71" t="s">
        <v>20</v>
      </c>
      <c r="E71" t="s">
        <v>17</v>
      </c>
      <c r="F71">
        <v>7</v>
      </c>
      <c r="G71" s="2">
        <v>11139</v>
      </c>
      <c r="H71" s="2">
        <v>8231</v>
      </c>
      <c r="I71" s="2">
        <v>77973</v>
      </c>
      <c r="J71" s="2">
        <v>57617</v>
      </c>
      <c r="K71" s="2">
        <v>20356</v>
      </c>
      <c r="L71" s="3">
        <v>0.26106472753388987</v>
      </c>
    </row>
    <row r="72" spans="1:12" x14ac:dyDescent="0.35">
      <c r="A72" t="s">
        <v>99</v>
      </c>
      <c r="B72" s="1">
        <v>46150.785234899333</v>
      </c>
      <c r="C72" t="s">
        <v>29</v>
      </c>
      <c r="D72" t="s">
        <v>14</v>
      </c>
      <c r="E72" t="s">
        <v>17</v>
      </c>
      <c r="F72">
        <v>7</v>
      </c>
      <c r="G72" s="2">
        <v>3294</v>
      </c>
      <c r="H72" s="2">
        <v>2324</v>
      </c>
      <c r="I72" s="2">
        <v>23058</v>
      </c>
      <c r="J72" s="2">
        <v>16268</v>
      </c>
      <c r="K72" s="2">
        <v>6790</v>
      </c>
      <c r="L72" s="3">
        <v>0.29447480267152398</v>
      </c>
    </row>
    <row r="73" spans="1:12" x14ac:dyDescent="0.35">
      <c r="A73" t="s">
        <v>100</v>
      </c>
      <c r="B73" s="1">
        <v>46152.610738255033</v>
      </c>
      <c r="C73" t="s">
        <v>27</v>
      </c>
      <c r="D73" t="s">
        <v>14</v>
      </c>
      <c r="E73" t="s">
        <v>17</v>
      </c>
      <c r="F73">
        <v>6</v>
      </c>
      <c r="G73" s="2">
        <v>21644</v>
      </c>
      <c r="H73" s="2">
        <v>16864</v>
      </c>
      <c r="I73" s="2">
        <v>129864</v>
      </c>
      <c r="J73" s="2">
        <v>101184</v>
      </c>
      <c r="K73" s="2">
        <v>28680</v>
      </c>
      <c r="L73" s="3">
        <v>0.22084642395121051</v>
      </c>
    </row>
    <row r="74" spans="1:12" x14ac:dyDescent="0.35">
      <c r="A74" t="s">
        <v>101</v>
      </c>
      <c r="B74" s="1">
        <v>46154.436241610732</v>
      </c>
      <c r="C74" t="s">
        <v>27</v>
      </c>
      <c r="D74" t="s">
        <v>14</v>
      </c>
      <c r="E74" t="s">
        <v>25</v>
      </c>
      <c r="F74">
        <v>7</v>
      </c>
      <c r="G74" s="2">
        <v>20889</v>
      </c>
      <c r="H74" s="2">
        <v>16145</v>
      </c>
      <c r="I74" s="2">
        <v>146223</v>
      </c>
      <c r="J74" s="2">
        <v>113015</v>
      </c>
      <c r="K74" s="2">
        <v>33208</v>
      </c>
      <c r="L74" s="3">
        <v>0.22710517497247351</v>
      </c>
    </row>
    <row r="75" spans="1:12" x14ac:dyDescent="0.35">
      <c r="A75" t="s">
        <v>102</v>
      </c>
      <c r="B75" s="1">
        <v>46156.261744966432</v>
      </c>
      <c r="C75" t="s">
        <v>42</v>
      </c>
      <c r="D75" t="s">
        <v>23</v>
      </c>
      <c r="E75" t="s">
        <v>25</v>
      </c>
      <c r="F75">
        <v>4</v>
      </c>
      <c r="G75" s="2">
        <v>1137</v>
      </c>
      <c r="H75" s="2">
        <v>623</v>
      </c>
      <c r="I75" s="2">
        <v>4548</v>
      </c>
      <c r="J75" s="2">
        <v>2492</v>
      </c>
      <c r="K75" s="2">
        <v>2056</v>
      </c>
      <c r="L75" s="3">
        <v>0.45206684256816182</v>
      </c>
    </row>
    <row r="76" spans="1:12" x14ac:dyDescent="0.35">
      <c r="A76" t="s">
        <v>103</v>
      </c>
      <c r="B76" s="1">
        <v>46158.087248322139</v>
      </c>
      <c r="C76" t="s">
        <v>33</v>
      </c>
      <c r="D76" t="s">
        <v>14</v>
      </c>
      <c r="E76" t="s">
        <v>30</v>
      </c>
      <c r="F76">
        <v>8</v>
      </c>
      <c r="G76" s="2">
        <v>28961</v>
      </c>
      <c r="H76" s="2">
        <v>22423</v>
      </c>
      <c r="I76" s="2">
        <v>231688</v>
      </c>
      <c r="J76" s="2">
        <v>179384</v>
      </c>
      <c r="K76" s="2">
        <v>52304</v>
      </c>
      <c r="L76" s="3">
        <v>0.225751873208798</v>
      </c>
    </row>
    <row r="77" spans="1:12" x14ac:dyDescent="0.35">
      <c r="A77" t="s">
        <v>104</v>
      </c>
      <c r="B77" s="1">
        <v>46159.912751677854</v>
      </c>
      <c r="C77" t="s">
        <v>50</v>
      </c>
      <c r="D77" t="s">
        <v>20</v>
      </c>
      <c r="E77" t="s">
        <v>15</v>
      </c>
      <c r="F77">
        <v>1</v>
      </c>
      <c r="G77" s="2">
        <v>12457</v>
      </c>
      <c r="H77" s="2">
        <v>8253</v>
      </c>
      <c r="I77" s="2">
        <v>12457</v>
      </c>
      <c r="J77" s="2">
        <v>8253</v>
      </c>
      <c r="K77" s="2">
        <v>4204</v>
      </c>
      <c r="L77" s="3">
        <v>0.33748093441438548</v>
      </c>
    </row>
    <row r="78" spans="1:12" x14ac:dyDescent="0.35">
      <c r="A78" t="s">
        <v>105</v>
      </c>
      <c r="B78" s="1">
        <v>46161.738255033553</v>
      </c>
      <c r="C78" t="s">
        <v>22</v>
      </c>
      <c r="D78" t="s">
        <v>23</v>
      </c>
      <c r="E78" t="s">
        <v>25</v>
      </c>
      <c r="F78">
        <v>5</v>
      </c>
      <c r="G78" s="2">
        <v>1727</v>
      </c>
      <c r="H78" s="2">
        <v>983</v>
      </c>
      <c r="I78" s="2">
        <v>8635</v>
      </c>
      <c r="J78" s="2">
        <v>4915</v>
      </c>
      <c r="K78" s="2">
        <v>3720</v>
      </c>
      <c r="L78" s="3">
        <v>0.43080486392588302</v>
      </c>
    </row>
    <row r="79" spans="1:12" x14ac:dyDescent="0.35">
      <c r="A79" t="s">
        <v>106</v>
      </c>
      <c r="B79" s="1">
        <v>46163.56375838926</v>
      </c>
      <c r="C79" t="s">
        <v>50</v>
      </c>
      <c r="D79" t="s">
        <v>20</v>
      </c>
      <c r="E79" t="s">
        <v>17</v>
      </c>
      <c r="F79">
        <v>6</v>
      </c>
      <c r="G79" s="2">
        <v>11263</v>
      </c>
      <c r="H79" s="2">
        <v>7753</v>
      </c>
      <c r="I79" s="2">
        <v>67578</v>
      </c>
      <c r="J79" s="2">
        <v>46518</v>
      </c>
      <c r="K79" s="2">
        <v>21060</v>
      </c>
      <c r="L79" s="3">
        <v>0.31163988280209542</v>
      </c>
    </row>
    <row r="80" spans="1:12" x14ac:dyDescent="0.35">
      <c r="A80" t="s">
        <v>107</v>
      </c>
      <c r="B80" s="1">
        <v>46165.389261744967</v>
      </c>
      <c r="C80" t="s">
        <v>45</v>
      </c>
      <c r="D80" t="s">
        <v>14</v>
      </c>
      <c r="E80" t="s">
        <v>15</v>
      </c>
      <c r="F80">
        <v>6</v>
      </c>
      <c r="G80" s="2">
        <v>56792</v>
      </c>
      <c r="H80" s="2">
        <v>42867</v>
      </c>
      <c r="I80" s="2">
        <v>340752</v>
      </c>
      <c r="J80" s="2">
        <v>257202</v>
      </c>
      <c r="K80" s="2">
        <v>83550</v>
      </c>
      <c r="L80" s="3">
        <v>0.24519298492745459</v>
      </c>
    </row>
    <row r="81" spans="1:12" x14ac:dyDescent="0.35">
      <c r="A81" t="s">
        <v>108</v>
      </c>
      <c r="B81" s="1">
        <v>46167.21476510066</v>
      </c>
      <c r="C81" t="s">
        <v>27</v>
      </c>
      <c r="D81" t="s">
        <v>14</v>
      </c>
      <c r="E81" t="s">
        <v>25</v>
      </c>
      <c r="F81">
        <v>2</v>
      </c>
      <c r="G81" s="2">
        <v>21907</v>
      </c>
      <c r="H81" s="2">
        <v>16333</v>
      </c>
      <c r="I81" s="2">
        <v>43814</v>
      </c>
      <c r="J81" s="2">
        <v>32666</v>
      </c>
      <c r="K81" s="2">
        <v>11148</v>
      </c>
      <c r="L81" s="3">
        <v>0.2544392203405304</v>
      </c>
    </row>
    <row r="82" spans="1:12" x14ac:dyDescent="0.35">
      <c r="A82" t="s">
        <v>109</v>
      </c>
      <c r="B82" s="1">
        <v>46169.040268456367</v>
      </c>
      <c r="C82" t="s">
        <v>50</v>
      </c>
      <c r="D82" t="s">
        <v>20</v>
      </c>
      <c r="E82" t="s">
        <v>17</v>
      </c>
      <c r="F82">
        <v>7</v>
      </c>
      <c r="G82" s="2">
        <v>12862</v>
      </c>
      <c r="H82" s="2">
        <v>8580</v>
      </c>
      <c r="I82" s="2">
        <v>90034</v>
      </c>
      <c r="J82" s="2">
        <v>60060</v>
      </c>
      <c r="K82" s="2">
        <v>29974</v>
      </c>
      <c r="L82" s="3">
        <v>0.33291867516715912</v>
      </c>
    </row>
    <row r="83" spans="1:12" x14ac:dyDescent="0.35">
      <c r="A83" t="s">
        <v>110</v>
      </c>
      <c r="B83" s="1">
        <v>46170.865771812067</v>
      </c>
      <c r="C83" t="s">
        <v>19</v>
      </c>
      <c r="D83" t="s">
        <v>20</v>
      </c>
      <c r="E83" t="s">
        <v>17</v>
      </c>
      <c r="F83">
        <v>7</v>
      </c>
      <c r="G83" s="2">
        <v>9089</v>
      </c>
      <c r="H83" s="2">
        <v>5801</v>
      </c>
      <c r="I83" s="2">
        <v>63623</v>
      </c>
      <c r="J83" s="2">
        <v>40607</v>
      </c>
      <c r="K83" s="2">
        <v>23016</v>
      </c>
      <c r="L83" s="3">
        <v>0.36175596875343818</v>
      </c>
    </row>
    <row r="84" spans="1:12" x14ac:dyDescent="0.35">
      <c r="A84" t="s">
        <v>111</v>
      </c>
      <c r="B84" s="1">
        <v>46172.691275167781</v>
      </c>
      <c r="C84" t="s">
        <v>39</v>
      </c>
      <c r="D84" t="s">
        <v>23</v>
      </c>
      <c r="E84" t="s">
        <v>15</v>
      </c>
      <c r="F84">
        <v>5</v>
      </c>
      <c r="G84" s="2">
        <v>2546</v>
      </c>
      <c r="H84" s="2">
        <v>1475</v>
      </c>
      <c r="I84" s="2">
        <v>12730</v>
      </c>
      <c r="J84" s="2">
        <v>7375</v>
      </c>
      <c r="K84" s="2">
        <v>5355</v>
      </c>
      <c r="L84" s="3">
        <v>0.42065985860172822</v>
      </c>
    </row>
    <row r="85" spans="1:12" x14ac:dyDescent="0.35">
      <c r="A85" t="s">
        <v>112</v>
      </c>
      <c r="B85" s="1">
        <v>46174.516778523481</v>
      </c>
      <c r="C85" t="s">
        <v>33</v>
      </c>
      <c r="D85" t="s">
        <v>14</v>
      </c>
      <c r="E85" t="s">
        <v>15</v>
      </c>
      <c r="F85">
        <v>1</v>
      </c>
      <c r="G85" s="2">
        <v>28611</v>
      </c>
      <c r="H85" s="2">
        <v>22795</v>
      </c>
      <c r="I85" s="2">
        <v>28611</v>
      </c>
      <c r="J85" s="2">
        <v>22795</v>
      </c>
      <c r="K85" s="2">
        <v>5816</v>
      </c>
      <c r="L85" s="3">
        <v>0.20327845933382269</v>
      </c>
    </row>
    <row r="86" spans="1:12" x14ac:dyDescent="0.35">
      <c r="A86" t="s">
        <v>113</v>
      </c>
      <c r="B86" s="1">
        <v>46176.342281879188</v>
      </c>
      <c r="C86" t="s">
        <v>33</v>
      </c>
      <c r="D86" t="s">
        <v>14</v>
      </c>
      <c r="E86" t="s">
        <v>30</v>
      </c>
      <c r="F86">
        <v>3</v>
      </c>
      <c r="G86" s="2">
        <v>27813</v>
      </c>
      <c r="H86" s="2">
        <v>22120</v>
      </c>
      <c r="I86" s="2">
        <v>83439</v>
      </c>
      <c r="J86" s="2">
        <v>66360</v>
      </c>
      <c r="K86" s="2">
        <v>17079</v>
      </c>
      <c r="L86" s="3">
        <v>0.20468845503901051</v>
      </c>
    </row>
    <row r="87" spans="1:12" x14ac:dyDescent="0.35">
      <c r="A87" t="s">
        <v>114</v>
      </c>
      <c r="B87" s="1">
        <v>46178.167785234888</v>
      </c>
      <c r="C87" t="s">
        <v>50</v>
      </c>
      <c r="D87" t="s">
        <v>20</v>
      </c>
      <c r="E87" t="s">
        <v>25</v>
      </c>
      <c r="F87">
        <v>4</v>
      </c>
      <c r="G87" s="2">
        <v>12885</v>
      </c>
      <c r="H87" s="2">
        <v>8599</v>
      </c>
      <c r="I87" s="2">
        <v>51540</v>
      </c>
      <c r="J87" s="2">
        <v>34396</v>
      </c>
      <c r="K87" s="2">
        <v>17144</v>
      </c>
      <c r="L87" s="3">
        <v>0.33263484672099342</v>
      </c>
    </row>
    <row r="88" spans="1:12" x14ac:dyDescent="0.35">
      <c r="A88" t="s">
        <v>115</v>
      </c>
      <c r="B88" s="1">
        <v>46179.993288590602</v>
      </c>
      <c r="C88" t="s">
        <v>33</v>
      </c>
      <c r="D88" t="s">
        <v>14</v>
      </c>
      <c r="E88" t="s">
        <v>17</v>
      </c>
      <c r="F88">
        <v>5</v>
      </c>
      <c r="G88" s="2">
        <v>28820</v>
      </c>
      <c r="H88" s="2">
        <v>20868</v>
      </c>
      <c r="I88" s="2">
        <v>144100</v>
      </c>
      <c r="J88" s="2">
        <v>104340</v>
      </c>
      <c r="K88" s="2">
        <v>39760</v>
      </c>
      <c r="L88" s="3">
        <v>0.27591950034698132</v>
      </c>
    </row>
    <row r="89" spans="1:12" x14ac:dyDescent="0.35">
      <c r="A89" t="s">
        <v>116</v>
      </c>
      <c r="B89" s="1">
        <v>46181.818791946309</v>
      </c>
      <c r="C89" t="s">
        <v>39</v>
      </c>
      <c r="D89" t="s">
        <v>23</v>
      </c>
      <c r="E89" t="s">
        <v>15</v>
      </c>
      <c r="F89">
        <v>5</v>
      </c>
      <c r="G89" s="2">
        <v>2309</v>
      </c>
      <c r="H89" s="2">
        <v>1453</v>
      </c>
      <c r="I89" s="2">
        <v>11545</v>
      </c>
      <c r="J89" s="2">
        <v>7265</v>
      </c>
      <c r="K89" s="2">
        <v>4280</v>
      </c>
      <c r="L89" s="3">
        <v>0.37072325682113472</v>
      </c>
    </row>
    <row r="90" spans="1:12" x14ac:dyDescent="0.35">
      <c r="A90" t="s">
        <v>117</v>
      </c>
      <c r="B90" s="1">
        <v>46183.644295302001</v>
      </c>
      <c r="C90" t="s">
        <v>42</v>
      </c>
      <c r="D90" t="s">
        <v>23</v>
      </c>
      <c r="E90" t="s">
        <v>17</v>
      </c>
      <c r="F90">
        <v>7</v>
      </c>
      <c r="G90" s="2">
        <v>1238</v>
      </c>
      <c r="H90" s="2">
        <v>660</v>
      </c>
      <c r="I90" s="2">
        <v>8666</v>
      </c>
      <c r="J90" s="2">
        <v>4620</v>
      </c>
      <c r="K90" s="2">
        <v>4046</v>
      </c>
      <c r="L90" s="3">
        <v>0.46688206785137321</v>
      </c>
    </row>
    <row r="91" spans="1:12" x14ac:dyDescent="0.35">
      <c r="A91" t="s">
        <v>118</v>
      </c>
      <c r="B91" s="1">
        <v>46185.469798657708</v>
      </c>
      <c r="C91" t="s">
        <v>39</v>
      </c>
      <c r="D91" t="s">
        <v>23</v>
      </c>
      <c r="E91" t="s">
        <v>25</v>
      </c>
      <c r="F91">
        <v>4</v>
      </c>
      <c r="G91" s="2">
        <v>2687</v>
      </c>
      <c r="H91" s="2">
        <v>1408</v>
      </c>
      <c r="I91" s="2">
        <v>10748</v>
      </c>
      <c r="J91" s="2">
        <v>5632</v>
      </c>
      <c r="K91" s="2">
        <v>5116</v>
      </c>
      <c r="L91" s="3">
        <v>0.47599553405284711</v>
      </c>
    </row>
    <row r="92" spans="1:12" x14ac:dyDescent="0.35">
      <c r="A92" t="s">
        <v>119</v>
      </c>
      <c r="B92" s="1">
        <v>46187.295302013423</v>
      </c>
      <c r="C92" t="s">
        <v>50</v>
      </c>
      <c r="D92" t="s">
        <v>20</v>
      </c>
      <c r="E92" t="s">
        <v>30</v>
      </c>
      <c r="F92">
        <v>1</v>
      </c>
      <c r="G92" s="2">
        <v>12146</v>
      </c>
      <c r="H92" s="2">
        <v>8428</v>
      </c>
      <c r="I92" s="2">
        <v>12146</v>
      </c>
      <c r="J92" s="2">
        <v>8428</v>
      </c>
      <c r="K92" s="2">
        <v>3718</v>
      </c>
      <c r="L92" s="3">
        <v>0.30610900708052041</v>
      </c>
    </row>
    <row r="93" spans="1:12" x14ac:dyDescent="0.35">
      <c r="A93" t="s">
        <v>120</v>
      </c>
      <c r="B93" s="1">
        <v>46189.120805369123</v>
      </c>
      <c r="C93" t="s">
        <v>19</v>
      </c>
      <c r="D93" t="s">
        <v>20</v>
      </c>
      <c r="E93" t="s">
        <v>25</v>
      </c>
      <c r="F93">
        <v>2</v>
      </c>
      <c r="G93" s="2">
        <v>8610</v>
      </c>
      <c r="H93" s="2">
        <v>6056</v>
      </c>
      <c r="I93" s="2">
        <v>17220</v>
      </c>
      <c r="J93" s="2">
        <v>12112</v>
      </c>
      <c r="K93" s="2">
        <v>5108</v>
      </c>
      <c r="L93" s="3">
        <v>0.29663182346109168</v>
      </c>
    </row>
    <row r="94" spans="1:12" x14ac:dyDescent="0.35">
      <c r="A94" t="s">
        <v>121</v>
      </c>
      <c r="B94" s="1">
        <v>46190.94630872483</v>
      </c>
      <c r="C94" t="s">
        <v>50</v>
      </c>
      <c r="D94" t="s">
        <v>20</v>
      </c>
      <c r="E94" t="s">
        <v>25</v>
      </c>
      <c r="F94">
        <v>4</v>
      </c>
      <c r="G94" s="2">
        <v>12482</v>
      </c>
      <c r="H94" s="2">
        <v>8450</v>
      </c>
      <c r="I94" s="2">
        <v>49928</v>
      </c>
      <c r="J94" s="2">
        <v>33800</v>
      </c>
      <c r="K94" s="2">
        <v>16128</v>
      </c>
      <c r="L94" s="3">
        <v>0.32302515622496403</v>
      </c>
    </row>
    <row r="95" spans="1:12" x14ac:dyDescent="0.35">
      <c r="A95" t="s">
        <v>122</v>
      </c>
      <c r="B95" s="1">
        <v>46192.771812080529</v>
      </c>
      <c r="C95" t="s">
        <v>42</v>
      </c>
      <c r="D95" t="s">
        <v>23</v>
      </c>
      <c r="E95" t="s">
        <v>15</v>
      </c>
      <c r="F95">
        <v>6</v>
      </c>
      <c r="G95" s="2">
        <v>1201</v>
      </c>
      <c r="H95" s="2">
        <v>675</v>
      </c>
      <c r="I95" s="2">
        <v>7206</v>
      </c>
      <c r="J95" s="2">
        <v>4050</v>
      </c>
      <c r="K95" s="2">
        <v>3156</v>
      </c>
      <c r="L95" s="3">
        <v>0.43796835970024978</v>
      </c>
    </row>
    <row r="96" spans="1:12" x14ac:dyDescent="0.35">
      <c r="A96" t="s">
        <v>123</v>
      </c>
      <c r="B96" s="1">
        <v>46194.597315436236</v>
      </c>
      <c r="C96" t="s">
        <v>22</v>
      </c>
      <c r="D96" t="s">
        <v>23</v>
      </c>
      <c r="E96" t="s">
        <v>15</v>
      </c>
      <c r="F96">
        <v>5</v>
      </c>
      <c r="G96" s="2">
        <v>1768</v>
      </c>
      <c r="H96" s="2">
        <v>941</v>
      </c>
      <c r="I96" s="2">
        <v>8840</v>
      </c>
      <c r="J96" s="2">
        <v>4705</v>
      </c>
      <c r="K96" s="2">
        <v>4135</v>
      </c>
      <c r="L96" s="3">
        <v>0.46776018099547512</v>
      </c>
    </row>
    <row r="97" spans="1:12" x14ac:dyDescent="0.35">
      <c r="A97" t="s">
        <v>124</v>
      </c>
      <c r="B97" s="1">
        <v>46196.422818791943</v>
      </c>
      <c r="C97" t="s">
        <v>42</v>
      </c>
      <c r="D97" t="s">
        <v>23</v>
      </c>
      <c r="E97" t="s">
        <v>17</v>
      </c>
      <c r="F97">
        <v>3</v>
      </c>
      <c r="G97" s="2">
        <v>1165</v>
      </c>
      <c r="H97" s="2">
        <v>685</v>
      </c>
      <c r="I97" s="2">
        <v>3495</v>
      </c>
      <c r="J97" s="2">
        <v>2055</v>
      </c>
      <c r="K97" s="2">
        <v>1440</v>
      </c>
      <c r="L97" s="3">
        <v>0.41201716738197419</v>
      </c>
    </row>
    <row r="98" spans="1:12" x14ac:dyDescent="0.35">
      <c r="A98" t="s">
        <v>125</v>
      </c>
      <c r="B98" s="1">
        <v>46198.24832214765</v>
      </c>
      <c r="C98" t="s">
        <v>19</v>
      </c>
      <c r="D98" t="s">
        <v>20</v>
      </c>
      <c r="E98" t="s">
        <v>25</v>
      </c>
      <c r="F98">
        <v>3</v>
      </c>
      <c r="G98" s="2">
        <v>7933</v>
      </c>
      <c r="H98" s="2">
        <v>5516</v>
      </c>
      <c r="I98" s="2">
        <v>23799</v>
      </c>
      <c r="J98" s="2">
        <v>16548</v>
      </c>
      <c r="K98" s="2">
        <v>7251</v>
      </c>
      <c r="L98" s="3">
        <v>0.30467666708685243</v>
      </c>
    </row>
    <row r="99" spans="1:12" x14ac:dyDescent="0.35">
      <c r="A99" t="s">
        <v>126</v>
      </c>
      <c r="B99" s="1">
        <v>46200.073825503343</v>
      </c>
      <c r="C99" t="s">
        <v>42</v>
      </c>
      <c r="D99" t="s">
        <v>23</v>
      </c>
      <c r="E99" t="s">
        <v>30</v>
      </c>
      <c r="F99">
        <v>4</v>
      </c>
      <c r="G99" s="2">
        <v>1248</v>
      </c>
      <c r="H99" s="2">
        <v>673</v>
      </c>
      <c r="I99" s="2">
        <v>4992</v>
      </c>
      <c r="J99" s="2">
        <v>2692</v>
      </c>
      <c r="K99" s="2">
        <v>2300</v>
      </c>
      <c r="L99" s="3">
        <v>0.46073717948717952</v>
      </c>
    </row>
    <row r="100" spans="1:12" x14ac:dyDescent="0.35">
      <c r="A100" t="s">
        <v>127</v>
      </c>
      <c r="B100" s="1">
        <v>46201.89932885905</v>
      </c>
      <c r="C100" t="s">
        <v>42</v>
      </c>
      <c r="D100" t="s">
        <v>23</v>
      </c>
      <c r="E100" t="s">
        <v>17</v>
      </c>
      <c r="F100">
        <v>7</v>
      </c>
      <c r="G100" s="2">
        <v>1199</v>
      </c>
      <c r="H100" s="2">
        <v>615</v>
      </c>
      <c r="I100" s="2">
        <v>8393</v>
      </c>
      <c r="J100" s="2">
        <v>4305</v>
      </c>
      <c r="K100" s="2">
        <v>4088</v>
      </c>
      <c r="L100" s="3">
        <v>0.48707256046705588</v>
      </c>
    </row>
    <row r="101" spans="1:12" x14ac:dyDescent="0.35">
      <c r="A101" t="s">
        <v>128</v>
      </c>
      <c r="B101" s="1">
        <v>46203.724832214757</v>
      </c>
      <c r="C101" t="s">
        <v>27</v>
      </c>
      <c r="D101" t="s">
        <v>14</v>
      </c>
      <c r="E101" t="s">
        <v>15</v>
      </c>
      <c r="F101">
        <v>5</v>
      </c>
      <c r="G101" s="2">
        <v>22162</v>
      </c>
      <c r="H101" s="2">
        <v>17420</v>
      </c>
      <c r="I101" s="2">
        <v>110810</v>
      </c>
      <c r="J101" s="2">
        <v>87100</v>
      </c>
      <c r="K101" s="2">
        <v>23710</v>
      </c>
      <c r="L101" s="3">
        <v>0.21396985831603649</v>
      </c>
    </row>
    <row r="102" spans="1:12" x14ac:dyDescent="0.35">
      <c r="A102" t="s">
        <v>129</v>
      </c>
      <c r="B102" s="1">
        <v>46205.550335570457</v>
      </c>
      <c r="C102" t="s">
        <v>42</v>
      </c>
      <c r="D102" t="s">
        <v>23</v>
      </c>
      <c r="E102" t="s">
        <v>15</v>
      </c>
      <c r="F102">
        <v>2</v>
      </c>
      <c r="G102" s="2">
        <v>1270</v>
      </c>
      <c r="H102" s="2">
        <v>676</v>
      </c>
      <c r="I102" s="2">
        <v>2540</v>
      </c>
      <c r="J102" s="2">
        <v>1352</v>
      </c>
      <c r="K102" s="2">
        <v>1188</v>
      </c>
      <c r="L102" s="3">
        <v>0.46771653543307079</v>
      </c>
    </row>
    <row r="103" spans="1:12" x14ac:dyDescent="0.35">
      <c r="A103" t="s">
        <v>130</v>
      </c>
      <c r="B103" s="1">
        <v>46207.375838926171</v>
      </c>
      <c r="C103" t="s">
        <v>39</v>
      </c>
      <c r="D103" t="s">
        <v>23</v>
      </c>
      <c r="E103" t="s">
        <v>25</v>
      </c>
      <c r="F103">
        <v>2</v>
      </c>
      <c r="G103" s="2">
        <v>2657</v>
      </c>
      <c r="H103" s="2">
        <v>1341</v>
      </c>
      <c r="I103" s="2">
        <v>5314</v>
      </c>
      <c r="J103" s="2">
        <v>2682</v>
      </c>
      <c r="K103" s="2">
        <v>2632</v>
      </c>
      <c r="L103" s="3">
        <v>0.49529544599171998</v>
      </c>
    </row>
    <row r="104" spans="1:12" x14ac:dyDescent="0.35">
      <c r="A104" t="s">
        <v>131</v>
      </c>
      <c r="B104" s="1">
        <v>46209.201342281878</v>
      </c>
      <c r="C104" t="s">
        <v>50</v>
      </c>
      <c r="D104" t="s">
        <v>20</v>
      </c>
      <c r="E104" t="s">
        <v>15</v>
      </c>
      <c r="F104">
        <v>6</v>
      </c>
      <c r="G104" s="2">
        <v>11759</v>
      </c>
      <c r="H104" s="2">
        <v>8073</v>
      </c>
      <c r="I104" s="2">
        <v>70554</v>
      </c>
      <c r="J104" s="2">
        <v>48438</v>
      </c>
      <c r="K104" s="2">
        <v>22116</v>
      </c>
      <c r="L104" s="3">
        <v>0.31346202908410581</v>
      </c>
    </row>
    <row r="105" spans="1:12" x14ac:dyDescent="0.35">
      <c r="A105" t="s">
        <v>132</v>
      </c>
      <c r="B105" s="1">
        <v>46211.026845637578</v>
      </c>
      <c r="C105" t="s">
        <v>19</v>
      </c>
      <c r="D105" t="s">
        <v>20</v>
      </c>
      <c r="E105" t="s">
        <v>15</v>
      </c>
      <c r="F105">
        <v>1</v>
      </c>
      <c r="G105" s="2">
        <v>9161</v>
      </c>
      <c r="H105" s="2">
        <v>5976</v>
      </c>
      <c r="I105" s="2">
        <v>9161</v>
      </c>
      <c r="J105" s="2">
        <v>5976</v>
      </c>
      <c r="K105" s="2">
        <v>3185</v>
      </c>
      <c r="L105" s="3">
        <v>0.34766946839864638</v>
      </c>
    </row>
    <row r="106" spans="1:12" x14ac:dyDescent="0.35">
      <c r="A106" t="s">
        <v>133</v>
      </c>
      <c r="B106" s="1">
        <v>46212.852348993278</v>
      </c>
      <c r="C106" t="s">
        <v>22</v>
      </c>
      <c r="D106" t="s">
        <v>23</v>
      </c>
      <c r="E106" t="s">
        <v>17</v>
      </c>
      <c r="F106">
        <v>4</v>
      </c>
      <c r="G106" s="2">
        <v>1880</v>
      </c>
      <c r="H106" s="2">
        <v>1007</v>
      </c>
      <c r="I106" s="2">
        <v>7520</v>
      </c>
      <c r="J106" s="2">
        <v>4028</v>
      </c>
      <c r="K106" s="2">
        <v>3492</v>
      </c>
      <c r="L106" s="3">
        <v>0.46436170212765959</v>
      </c>
    </row>
    <row r="107" spans="1:12" x14ac:dyDescent="0.35">
      <c r="A107" t="s">
        <v>134</v>
      </c>
      <c r="B107" s="1">
        <v>46214.677852348992</v>
      </c>
      <c r="C107" t="s">
        <v>27</v>
      </c>
      <c r="D107" t="s">
        <v>14</v>
      </c>
      <c r="E107" t="s">
        <v>25</v>
      </c>
      <c r="F107">
        <v>2</v>
      </c>
      <c r="G107" s="2">
        <v>21769</v>
      </c>
      <c r="H107" s="2">
        <v>16498</v>
      </c>
      <c r="I107" s="2">
        <v>43538</v>
      </c>
      <c r="J107" s="2">
        <v>32996</v>
      </c>
      <c r="K107" s="2">
        <v>10542</v>
      </c>
      <c r="L107" s="3">
        <v>0.24213330883366249</v>
      </c>
    </row>
    <row r="108" spans="1:12" x14ac:dyDescent="0.35">
      <c r="A108" t="s">
        <v>135</v>
      </c>
      <c r="B108" s="1">
        <v>46216.503355704677</v>
      </c>
      <c r="C108" t="s">
        <v>33</v>
      </c>
      <c r="D108" t="s">
        <v>14</v>
      </c>
      <c r="E108" t="s">
        <v>30</v>
      </c>
      <c r="F108">
        <v>4</v>
      </c>
      <c r="G108" s="2">
        <v>29080</v>
      </c>
      <c r="H108" s="2">
        <v>22705</v>
      </c>
      <c r="I108" s="2">
        <v>116320</v>
      </c>
      <c r="J108" s="2">
        <v>90820</v>
      </c>
      <c r="K108" s="2">
        <v>25500</v>
      </c>
      <c r="L108" s="3">
        <v>0.21922283356258601</v>
      </c>
    </row>
    <row r="109" spans="1:12" x14ac:dyDescent="0.35">
      <c r="A109" t="s">
        <v>136</v>
      </c>
      <c r="B109" s="1">
        <v>46218.328859060392</v>
      </c>
      <c r="C109" t="s">
        <v>42</v>
      </c>
      <c r="D109" t="s">
        <v>23</v>
      </c>
      <c r="E109" t="s">
        <v>15</v>
      </c>
      <c r="F109">
        <v>7</v>
      </c>
      <c r="G109" s="2">
        <v>1216</v>
      </c>
      <c r="H109" s="2">
        <v>686</v>
      </c>
      <c r="I109" s="2">
        <v>8512</v>
      </c>
      <c r="J109" s="2">
        <v>4802</v>
      </c>
      <c r="K109" s="2">
        <v>3710</v>
      </c>
      <c r="L109" s="3">
        <v>0.43585526315789469</v>
      </c>
    </row>
    <row r="110" spans="1:12" x14ac:dyDescent="0.35">
      <c r="A110" t="s">
        <v>137</v>
      </c>
      <c r="B110" s="1">
        <v>46220.154362416099</v>
      </c>
      <c r="C110" t="s">
        <v>45</v>
      </c>
      <c r="D110" t="s">
        <v>14</v>
      </c>
      <c r="E110" t="s">
        <v>15</v>
      </c>
      <c r="F110">
        <v>1</v>
      </c>
      <c r="G110" s="2">
        <v>52568</v>
      </c>
      <c r="H110" s="2">
        <v>45390</v>
      </c>
      <c r="I110" s="2">
        <v>52568</v>
      </c>
      <c r="J110" s="2">
        <v>45390</v>
      </c>
      <c r="K110" s="2">
        <v>7178</v>
      </c>
      <c r="L110" s="3">
        <v>0.1365469487140466</v>
      </c>
    </row>
    <row r="111" spans="1:12" x14ac:dyDescent="0.35">
      <c r="A111" t="s">
        <v>138</v>
      </c>
      <c r="B111" s="1">
        <v>46221.979865771813</v>
      </c>
      <c r="C111" t="s">
        <v>50</v>
      </c>
      <c r="D111" t="s">
        <v>20</v>
      </c>
      <c r="E111" t="s">
        <v>30</v>
      </c>
      <c r="F111">
        <v>8</v>
      </c>
      <c r="G111" s="2">
        <v>12946</v>
      </c>
      <c r="H111" s="2">
        <v>7781</v>
      </c>
      <c r="I111" s="2">
        <v>103568</v>
      </c>
      <c r="J111" s="2">
        <v>62248</v>
      </c>
      <c r="K111" s="2">
        <v>41320</v>
      </c>
      <c r="L111" s="3">
        <v>0.39896493125289673</v>
      </c>
    </row>
    <row r="112" spans="1:12" x14ac:dyDescent="0.35">
      <c r="A112" t="s">
        <v>139</v>
      </c>
      <c r="B112" s="1">
        <v>46223.805369127513</v>
      </c>
      <c r="C112" t="s">
        <v>29</v>
      </c>
      <c r="D112" t="s">
        <v>14</v>
      </c>
      <c r="E112" t="s">
        <v>15</v>
      </c>
      <c r="F112">
        <v>3</v>
      </c>
      <c r="G112" s="2">
        <v>3513</v>
      </c>
      <c r="H112" s="2">
        <v>2234</v>
      </c>
      <c r="I112" s="2">
        <v>10539</v>
      </c>
      <c r="J112" s="2">
        <v>6702</v>
      </c>
      <c r="K112" s="2">
        <v>3837</v>
      </c>
      <c r="L112" s="3">
        <v>0.36407628807287218</v>
      </c>
    </row>
    <row r="113" spans="1:12" x14ac:dyDescent="0.35">
      <c r="A113" t="s">
        <v>140</v>
      </c>
      <c r="B113" s="1">
        <v>46225.63087248322</v>
      </c>
      <c r="C113" t="s">
        <v>45</v>
      </c>
      <c r="D113" t="s">
        <v>14</v>
      </c>
      <c r="E113" t="s">
        <v>15</v>
      </c>
      <c r="F113">
        <v>5</v>
      </c>
      <c r="G113" s="2">
        <v>53981</v>
      </c>
      <c r="H113" s="2">
        <v>44223</v>
      </c>
      <c r="I113" s="2">
        <v>269905</v>
      </c>
      <c r="J113" s="2">
        <v>221115</v>
      </c>
      <c r="K113" s="2">
        <v>48790</v>
      </c>
      <c r="L113" s="3">
        <v>0.18076730701543139</v>
      </c>
    </row>
    <row r="114" spans="1:12" x14ac:dyDescent="0.35">
      <c r="A114" t="s">
        <v>141</v>
      </c>
      <c r="B114" s="1">
        <v>46227.456375838927</v>
      </c>
      <c r="C114" t="s">
        <v>27</v>
      </c>
      <c r="D114" t="s">
        <v>14</v>
      </c>
      <c r="E114" t="s">
        <v>17</v>
      </c>
      <c r="F114">
        <v>8</v>
      </c>
      <c r="G114" s="2">
        <v>21629</v>
      </c>
      <c r="H114" s="2">
        <v>16198</v>
      </c>
      <c r="I114" s="2">
        <v>173032</v>
      </c>
      <c r="J114" s="2">
        <v>129584</v>
      </c>
      <c r="K114" s="2">
        <v>43448</v>
      </c>
      <c r="L114" s="3">
        <v>0.25109806278607433</v>
      </c>
    </row>
    <row r="115" spans="1:12" x14ac:dyDescent="0.35">
      <c r="A115" t="s">
        <v>142</v>
      </c>
      <c r="B115" s="1">
        <v>46229.281879194627</v>
      </c>
      <c r="C115" t="s">
        <v>50</v>
      </c>
      <c r="D115" t="s">
        <v>20</v>
      </c>
      <c r="E115" t="s">
        <v>17</v>
      </c>
      <c r="F115">
        <v>8</v>
      </c>
      <c r="G115" s="2">
        <v>12282</v>
      </c>
      <c r="H115" s="2">
        <v>8090</v>
      </c>
      <c r="I115" s="2">
        <v>98256</v>
      </c>
      <c r="J115" s="2">
        <v>64720</v>
      </c>
      <c r="K115" s="2">
        <v>33536</v>
      </c>
      <c r="L115" s="3">
        <v>0.34131248982250451</v>
      </c>
    </row>
    <row r="116" spans="1:12" x14ac:dyDescent="0.35">
      <c r="A116" t="s">
        <v>143</v>
      </c>
      <c r="B116" s="1">
        <v>46231.107382550334</v>
      </c>
      <c r="C116" t="s">
        <v>33</v>
      </c>
      <c r="D116" t="s">
        <v>14</v>
      </c>
      <c r="E116" t="s">
        <v>17</v>
      </c>
      <c r="F116">
        <v>4</v>
      </c>
      <c r="G116" s="2">
        <v>30125</v>
      </c>
      <c r="H116" s="2">
        <v>23284</v>
      </c>
      <c r="I116" s="2">
        <v>120500</v>
      </c>
      <c r="J116" s="2">
        <v>93136</v>
      </c>
      <c r="K116" s="2">
        <v>27364</v>
      </c>
      <c r="L116" s="3">
        <v>0.22708713692946059</v>
      </c>
    </row>
    <row r="117" spans="1:12" x14ac:dyDescent="0.35">
      <c r="A117" t="s">
        <v>144</v>
      </c>
      <c r="B117" s="1">
        <v>46232.932885906033</v>
      </c>
      <c r="C117" t="s">
        <v>22</v>
      </c>
      <c r="D117" t="s">
        <v>23</v>
      </c>
      <c r="E117" t="s">
        <v>30</v>
      </c>
      <c r="F117">
        <v>7</v>
      </c>
      <c r="G117" s="2">
        <v>1745</v>
      </c>
      <c r="H117" s="2">
        <v>1038</v>
      </c>
      <c r="I117" s="2">
        <v>12215</v>
      </c>
      <c r="J117" s="2">
        <v>7266</v>
      </c>
      <c r="K117" s="2">
        <v>4949</v>
      </c>
      <c r="L117" s="3">
        <v>0.40515759312320909</v>
      </c>
    </row>
    <row r="118" spans="1:12" x14ac:dyDescent="0.35">
      <c r="A118" t="s">
        <v>145</v>
      </c>
      <c r="B118" s="1">
        <v>46234.758389261733</v>
      </c>
      <c r="C118" t="s">
        <v>29</v>
      </c>
      <c r="D118" t="s">
        <v>14</v>
      </c>
      <c r="E118" t="s">
        <v>15</v>
      </c>
      <c r="F118">
        <v>5</v>
      </c>
      <c r="G118" s="2">
        <v>3453</v>
      </c>
      <c r="H118" s="2">
        <v>2221</v>
      </c>
      <c r="I118" s="2">
        <v>17265</v>
      </c>
      <c r="J118" s="2">
        <v>11105</v>
      </c>
      <c r="K118" s="2">
        <v>6160</v>
      </c>
      <c r="L118" s="3">
        <v>0.35679119606139592</v>
      </c>
    </row>
    <row r="119" spans="1:12" x14ac:dyDescent="0.35">
      <c r="A119" t="s">
        <v>146</v>
      </c>
      <c r="B119" s="1">
        <v>46236.58389261744</v>
      </c>
      <c r="C119" t="s">
        <v>42</v>
      </c>
      <c r="D119" t="s">
        <v>23</v>
      </c>
      <c r="E119" t="s">
        <v>17</v>
      </c>
      <c r="F119">
        <v>2</v>
      </c>
      <c r="G119" s="2">
        <v>1272</v>
      </c>
      <c r="H119" s="2">
        <v>654</v>
      </c>
      <c r="I119" s="2">
        <v>2544</v>
      </c>
      <c r="J119" s="2">
        <v>1308</v>
      </c>
      <c r="K119" s="2">
        <v>1236</v>
      </c>
      <c r="L119" s="3">
        <v>0.48584905660377359</v>
      </c>
    </row>
    <row r="120" spans="1:12" x14ac:dyDescent="0.35">
      <c r="A120" t="s">
        <v>147</v>
      </c>
      <c r="B120" s="1">
        <v>46238.409395973147</v>
      </c>
      <c r="C120" t="s">
        <v>50</v>
      </c>
      <c r="D120" t="s">
        <v>20</v>
      </c>
      <c r="E120" t="s">
        <v>25</v>
      </c>
      <c r="F120">
        <v>7</v>
      </c>
      <c r="G120" s="2">
        <v>12533</v>
      </c>
      <c r="H120" s="2">
        <v>8181</v>
      </c>
      <c r="I120" s="2">
        <v>87731</v>
      </c>
      <c r="J120" s="2">
        <v>57267</v>
      </c>
      <c r="K120" s="2">
        <v>30464</v>
      </c>
      <c r="L120" s="3">
        <v>0.34724327774674862</v>
      </c>
    </row>
    <row r="121" spans="1:12" x14ac:dyDescent="0.35">
      <c r="A121" t="s">
        <v>148</v>
      </c>
      <c r="B121" s="1">
        <v>46240.234899328847</v>
      </c>
      <c r="C121" t="s">
        <v>45</v>
      </c>
      <c r="D121" t="s">
        <v>14</v>
      </c>
      <c r="E121" t="s">
        <v>30</v>
      </c>
      <c r="F121">
        <v>3</v>
      </c>
      <c r="G121" s="2">
        <v>53952</v>
      </c>
      <c r="H121" s="2">
        <v>45425</v>
      </c>
      <c r="I121" s="2">
        <v>161856</v>
      </c>
      <c r="J121" s="2">
        <v>136275</v>
      </c>
      <c r="K121" s="2">
        <v>25581</v>
      </c>
      <c r="L121" s="3">
        <v>0.15804789442467379</v>
      </c>
    </row>
    <row r="122" spans="1:12" x14ac:dyDescent="0.35">
      <c r="A122" t="s">
        <v>149</v>
      </c>
      <c r="B122" s="1">
        <v>46242.060402684561</v>
      </c>
      <c r="C122" t="s">
        <v>45</v>
      </c>
      <c r="D122" t="s">
        <v>14</v>
      </c>
      <c r="E122" t="s">
        <v>17</v>
      </c>
      <c r="F122">
        <v>5</v>
      </c>
      <c r="G122" s="2">
        <v>50924</v>
      </c>
      <c r="H122" s="2">
        <v>41111</v>
      </c>
      <c r="I122" s="2">
        <v>254620</v>
      </c>
      <c r="J122" s="2">
        <v>205555</v>
      </c>
      <c r="K122" s="2">
        <v>49065</v>
      </c>
      <c r="L122" s="3">
        <v>0.19269892388657611</v>
      </c>
    </row>
    <row r="123" spans="1:12" x14ac:dyDescent="0.35">
      <c r="A123" t="s">
        <v>150</v>
      </c>
      <c r="B123" s="1">
        <v>46243.885906040268</v>
      </c>
      <c r="C123" t="s">
        <v>50</v>
      </c>
      <c r="D123" t="s">
        <v>20</v>
      </c>
      <c r="E123" t="s">
        <v>17</v>
      </c>
      <c r="F123">
        <v>8</v>
      </c>
      <c r="G123" s="2">
        <v>12368</v>
      </c>
      <c r="H123" s="2">
        <v>8234</v>
      </c>
      <c r="I123" s="2">
        <v>98944</v>
      </c>
      <c r="J123" s="2">
        <v>65872</v>
      </c>
      <c r="K123" s="2">
        <v>33072</v>
      </c>
      <c r="L123" s="3">
        <v>0.33424967658473481</v>
      </c>
    </row>
    <row r="124" spans="1:12" x14ac:dyDescent="0.35">
      <c r="A124" t="s">
        <v>151</v>
      </c>
      <c r="B124" s="1">
        <v>46245.711409395983</v>
      </c>
      <c r="C124" t="s">
        <v>50</v>
      </c>
      <c r="D124" t="s">
        <v>20</v>
      </c>
      <c r="E124" t="s">
        <v>15</v>
      </c>
      <c r="F124">
        <v>6</v>
      </c>
      <c r="G124" s="2">
        <v>12163</v>
      </c>
      <c r="H124" s="2">
        <v>8423</v>
      </c>
      <c r="I124" s="2">
        <v>72978</v>
      </c>
      <c r="J124" s="2">
        <v>50538</v>
      </c>
      <c r="K124" s="2">
        <v>22440</v>
      </c>
      <c r="L124" s="3">
        <v>0.30748992847159418</v>
      </c>
    </row>
    <row r="125" spans="1:12" x14ac:dyDescent="0.35">
      <c r="A125" t="s">
        <v>152</v>
      </c>
      <c r="B125" s="1">
        <v>46247.536912751668</v>
      </c>
      <c r="C125" t="s">
        <v>27</v>
      </c>
      <c r="D125" t="s">
        <v>14</v>
      </c>
      <c r="E125" t="s">
        <v>25</v>
      </c>
      <c r="F125">
        <v>2</v>
      </c>
      <c r="G125" s="2">
        <v>21089</v>
      </c>
      <c r="H125" s="2">
        <v>16398</v>
      </c>
      <c r="I125" s="2">
        <v>42178</v>
      </c>
      <c r="J125" s="2">
        <v>32796</v>
      </c>
      <c r="K125" s="2">
        <v>9382</v>
      </c>
      <c r="L125" s="3">
        <v>0.22243823794395179</v>
      </c>
    </row>
    <row r="126" spans="1:12" x14ac:dyDescent="0.35">
      <c r="A126" t="s">
        <v>153</v>
      </c>
      <c r="B126" s="1">
        <v>46249.362416107368</v>
      </c>
      <c r="C126" t="s">
        <v>45</v>
      </c>
      <c r="D126" t="s">
        <v>14</v>
      </c>
      <c r="E126" t="s">
        <v>25</v>
      </c>
      <c r="F126">
        <v>3</v>
      </c>
      <c r="G126" s="2">
        <v>52424</v>
      </c>
      <c r="H126" s="2">
        <v>44952</v>
      </c>
      <c r="I126" s="2">
        <v>157272</v>
      </c>
      <c r="J126" s="2">
        <v>134856</v>
      </c>
      <c r="K126" s="2">
        <v>22416</v>
      </c>
      <c r="L126" s="3">
        <v>0.14253013886769419</v>
      </c>
    </row>
    <row r="127" spans="1:12" x14ac:dyDescent="0.35">
      <c r="A127" t="s">
        <v>154</v>
      </c>
      <c r="B127" s="1">
        <v>46251.187919463082</v>
      </c>
      <c r="C127" t="s">
        <v>39</v>
      </c>
      <c r="D127" t="s">
        <v>23</v>
      </c>
      <c r="E127" t="s">
        <v>17</v>
      </c>
      <c r="F127">
        <v>8</v>
      </c>
      <c r="G127" s="2">
        <v>2407</v>
      </c>
      <c r="H127" s="2">
        <v>1320</v>
      </c>
      <c r="I127" s="2">
        <v>19256</v>
      </c>
      <c r="J127" s="2">
        <v>10560</v>
      </c>
      <c r="K127" s="2">
        <v>8696</v>
      </c>
      <c r="L127" s="3">
        <v>0.45159950145409222</v>
      </c>
    </row>
    <row r="128" spans="1:12" x14ac:dyDescent="0.35">
      <c r="A128" t="s">
        <v>155</v>
      </c>
      <c r="B128" s="1">
        <v>46253.013422818782</v>
      </c>
      <c r="C128" t="s">
        <v>27</v>
      </c>
      <c r="D128" t="s">
        <v>14</v>
      </c>
      <c r="E128" t="s">
        <v>25</v>
      </c>
      <c r="F128">
        <v>2</v>
      </c>
      <c r="G128" s="2">
        <v>23166</v>
      </c>
      <c r="H128" s="2">
        <v>16608</v>
      </c>
      <c r="I128" s="2">
        <v>46332</v>
      </c>
      <c r="J128" s="2">
        <v>33216</v>
      </c>
      <c r="K128" s="2">
        <v>13116</v>
      </c>
      <c r="L128" s="3">
        <v>0.28308728308728309</v>
      </c>
    </row>
    <row r="129" spans="1:12" x14ac:dyDescent="0.35">
      <c r="A129" t="s">
        <v>156</v>
      </c>
      <c r="B129" s="1">
        <v>46254.838926174489</v>
      </c>
      <c r="C129" t="s">
        <v>45</v>
      </c>
      <c r="D129" t="s">
        <v>14</v>
      </c>
      <c r="E129" t="s">
        <v>15</v>
      </c>
      <c r="F129">
        <v>6</v>
      </c>
      <c r="G129" s="2">
        <v>51378</v>
      </c>
      <c r="H129" s="2">
        <v>44506</v>
      </c>
      <c r="I129" s="2">
        <v>308268</v>
      </c>
      <c r="J129" s="2">
        <v>267036</v>
      </c>
      <c r="K129" s="2">
        <v>41232</v>
      </c>
      <c r="L129" s="3">
        <v>0.13375374673984969</v>
      </c>
    </row>
    <row r="130" spans="1:12" x14ac:dyDescent="0.35">
      <c r="A130" t="s">
        <v>157</v>
      </c>
      <c r="B130" s="1">
        <v>46256.664429530203</v>
      </c>
      <c r="C130" t="s">
        <v>45</v>
      </c>
      <c r="D130" t="s">
        <v>14</v>
      </c>
      <c r="E130" t="s">
        <v>25</v>
      </c>
      <c r="F130">
        <v>8</v>
      </c>
      <c r="G130" s="2">
        <v>54301</v>
      </c>
      <c r="H130" s="2">
        <v>44469</v>
      </c>
      <c r="I130" s="2">
        <v>434408</v>
      </c>
      <c r="J130" s="2">
        <v>355752</v>
      </c>
      <c r="K130" s="2">
        <v>78656</v>
      </c>
      <c r="L130" s="3">
        <v>0.181064805436364</v>
      </c>
    </row>
    <row r="131" spans="1:12" x14ac:dyDescent="0.35">
      <c r="A131" t="s">
        <v>158</v>
      </c>
      <c r="B131" s="1">
        <v>46258.489932885903</v>
      </c>
      <c r="C131" t="s">
        <v>33</v>
      </c>
      <c r="D131" t="s">
        <v>14</v>
      </c>
      <c r="E131" t="s">
        <v>17</v>
      </c>
      <c r="F131">
        <v>3</v>
      </c>
      <c r="G131" s="2">
        <v>26371</v>
      </c>
      <c r="H131" s="2">
        <v>20718</v>
      </c>
      <c r="I131" s="2">
        <v>79113</v>
      </c>
      <c r="J131" s="2">
        <v>62154</v>
      </c>
      <c r="K131" s="2">
        <v>16959</v>
      </c>
      <c r="L131" s="3">
        <v>0.21436426377460091</v>
      </c>
    </row>
    <row r="132" spans="1:12" x14ac:dyDescent="0.35">
      <c r="A132" t="s">
        <v>159</v>
      </c>
      <c r="B132" s="1">
        <v>46260.31543624161</v>
      </c>
      <c r="C132" t="s">
        <v>22</v>
      </c>
      <c r="D132" t="s">
        <v>23</v>
      </c>
      <c r="E132" t="s">
        <v>30</v>
      </c>
      <c r="F132">
        <v>2</v>
      </c>
      <c r="G132" s="2">
        <v>1769</v>
      </c>
      <c r="H132" s="2">
        <v>992</v>
      </c>
      <c r="I132" s="2">
        <v>3538</v>
      </c>
      <c r="J132" s="2">
        <v>1984</v>
      </c>
      <c r="K132" s="2">
        <v>1554</v>
      </c>
      <c r="L132" s="3">
        <v>0.43923120407009608</v>
      </c>
    </row>
    <row r="133" spans="1:12" x14ac:dyDescent="0.35">
      <c r="A133" t="s">
        <v>160</v>
      </c>
      <c r="B133" s="1">
        <v>46262.140939597317</v>
      </c>
      <c r="C133" t="s">
        <v>33</v>
      </c>
      <c r="D133" t="s">
        <v>14</v>
      </c>
      <c r="E133" t="s">
        <v>30</v>
      </c>
      <c r="F133">
        <v>4</v>
      </c>
      <c r="G133" s="2">
        <v>27780</v>
      </c>
      <c r="H133" s="2">
        <v>23084</v>
      </c>
      <c r="I133" s="2">
        <v>111120</v>
      </c>
      <c r="J133" s="2">
        <v>92336</v>
      </c>
      <c r="K133" s="2">
        <v>18784</v>
      </c>
      <c r="L133" s="3">
        <v>0.16904247660187191</v>
      </c>
    </row>
    <row r="134" spans="1:12" x14ac:dyDescent="0.35">
      <c r="A134" t="s">
        <v>161</v>
      </c>
      <c r="B134" s="1">
        <v>46263.966442953009</v>
      </c>
      <c r="C134" t="s">
        <v>13</v>
      </c>
      <c r="D134" t="s">
        <v>14</v>
      </c>
      <c r="E134" t="s">
        <v>15</v>
      </c>
      <c r="F134">
        <v>2</v>
      </c>
      <c r="G134" s="2">
        <v>17151</v>
      </c>
      <c r="H134" s="2">
        <v>11013</v>
      </c>
      <c r="I134" s="2">
        <v>34302</v>
      </c>
      <c r="J134" s="2">
        <v>22026</v>
      </c>
      <c r="K134" s="2">
        <v>12276</v>
      </c>
      <c r="L134" s="3">
        <v>0.3578800069966766</v>
      </c>
    </row>
    <row r="135" spans="1:12" x14ac:dyDescent="0.35">
      <c r="A135" t="s">
        <v>162</v>
      </c>
      <c r="B135" s="1">
        <v>46265.791946308716</v>
      </c>
      <c r="C135" t="s">
        <v>39</v>
      </c>
      <c r="D135" t="s">
        <v>23</v>
      </c>
      <c r="E135" t="s">
        <v>25</v>
      </c>
      <c r="F135">
        <v>1</v>
      </c>
      <c r="G135" s="2">
        <v>2403</v>
      </c>
      <c r="H135" s="2">
        <v>1393</v>
      </c>
      <c r="I135" s="2">
        <v>2403</v>
      </c>
      <c r="J135" s="2">
        <v>1393</v>
      </c>
      <c r="K135" s="2">
        <v>1010</v>
      </c>
      <c r="L135" s="3">
        <v>0.42030794839783597</v>
      </c>
    </row>
    <row r="136" spans="1:12" x14ac:dyDescent="0.35">
      <c r="A136" t="s">
        <v>163</v>
      </c>
      <c r="B136" s="1">
        <v>46267.617449664423</v>
      </c>
      <c r="C136" t="s">
        <v>33</v>
      </c>
      <c r="D136" t="s">
        <v>14</v>
      </c>
      <c r="E136" t="s">
        <v>25</v>
      </c>
      <c r="F136">
        <v>6</v>
      </c>
      <c r="G136" s="2">
        <v>27233</v>
      </c>
      <c r="H136" s="2">
        <v>22352</v>
      </c>
      <c r="I136" s="2">
        <v>163398</v>
      </c>
      <c r="J136" s="2">
        <v>134112</v>
      </c>
      <c r="K136" s="2">
        <v>29286</v>
      </c>
      <c r="L136" s="3">
        <v>0.17923107993977891</v>
      </c>
    </row>
    <row r="137" spans="1:12" x14ac:dyDescent="0.35">
      <c r="A137" t="s">
        <v>164</v>
      </c>
      <c r="B137" s="1">
        <v>46269.442953020131</v>
      </c>
      <c r="C137" t="s">
        <v>29</v>
      </c>
      <c r="D137" t="s">
        <v>14</v>
      </c>
      <c r="E137" t="s">
        <v>17</v>
      </c>
      <c r="F137">
        <v>7</v>
      </c>
      <c r="G137" s="2">
        <v>3292</v>
      </c>
      <c r="H137" s="2">
        <v>2108</v>
      </c>
      <c r="I137" s="2">
        <v>23044</v>
      </c>
      <c r="J137" s="2">
        <v>14756</v>
      </c>
      <c r="K137" s="2">
        <v>8288</v>
      </c>
      <c r="L137" s="3">
        <v>0.35965978128797083</v>
      </c>
    </row>
    <row r="138" spans="1:12" x14ac:dyDescent="0.35">
      <c r="A138" t="s">
        <v>165</v>
      </c>
      <c r="B138" s="1">
        <v>46271.26845637583</v>
      </c>
      <c r="C138" t="s">
        <v>22</v>
      </c>
      <c r="D138" t="s">
        <v>23</v>
      </c>
      <c r="E138" t="s">
        <v>30</v>
      </c>
      <c r="F138">
        <v>8</v>
      </c>
      <c r="G138" s="2">
        <v>1708</v>
      </c>
      <c r="H138" s="2">
        <v>981</v>
      </c>
      <c r="I138" s="2">
        <v>13664</v>
      </c>
      <c r="J138" s="2">
        <v>7848</v>
      </c>
      <c r="K138" s="2">
        <v>5816</v>
      </c>
      <c r="L138" s="3">
        <v>0.42564402810304452</v>
      </c>
    </row>
    <row r="139" spans="1:12" x14ac:dyDescent="0.35">
      <c r="A139" t="s">
        <v>166</v>
      </c>
      <c r="B139" s="1">
        <v>46273.093959731537</v>
      </c>
      <c r="C139" t="s">
        <v>29</v>
      </c>
      <c r="D139" t="s">
        <v>14</v>
      </c>
      <c r="E139" t="s">
        <v>25</v>
      </c>
      <c r="F139">
        <v>8</v>
      </c>
      <c r="G139" s="2">
        <v>3594</v>
      </c>
      <c r="H139" s="2">
        <v>2113</v>
      </c>
      <c r="I139" s="2">
        <v>28752</v>
      </c>
      <c r="J139" s="2">
        <v>16904</v>
      </c>
      <c r="K139" s="2">
        <v>11848</v>
      </c>
      <c r="L139" s="3">
        <v>0.41207568169170838</v>
      </c>
    </row>
    <row r="140" spans="1:12" x14ac:dyDescent="0.35">
      <c r="A140" t="s">
        <v>167</v>
      </c>
      <c r="B140" s="1">
        <v>46274.919463087237</v>
      </c>
      <c r="C140" t="s">
        <v>27</v>
      </c>
      <c r="D140" t="s">
        <v>14</v>
      </c>
      <c r="E140" t="s">
        <v>17</v>
      </c>
      <c r="F140">
        <v>3</v>
      </c>
      <c r="G140" s="2">
        <v>20835</v>
      </c>
      <c r="H140" s="2">
        <v>16548</v>
      </c>
      <c r="I140" s="2">
        <v>62505</v>
      </c>
      <c r="J140" s="2">
        <v>49644</v>
      </c>
      <c r="K140" s="2">
        <v>12861</v>
      </c>
      <c r="L140" s="3">
        <v>0.20575953923686099</v>
      </c>
    </row>
    <row r="141" spans="1:12" x14ac:dyDescent="0.35">
      <c r="A141" t="s">
        <v>168</v>
      </c>
      <c r="B141" s="1">
        <v>46276.744966442951</v>
      </c>
      <c r="C141" t="s">
        <v>22</v>
      </c>
      <c r="D141" t="s">
        <v>23</v>
      </c>
      <c r="E141" t="s">
        <v>30</v>
      </c>
      <c r="F141">
        <v>5</v>
      </c>
      <c r="G141" s="2">
        <v>1810</v>
      </c>
      <c r="H141" s="2">
        <v>983</v>
      </c>
      <c r="I141" s="2">
        <v>9050</v>
      </c>
      <c r="J141" s="2">
        <v>4915</v>
      </c>
      <c r="K141" s="2">
        <v>4135</v>
      </c>
      <c r="L141" s="3">
        <v>0.45690607734806632</v>
      </c>
    </row>
    <row r="142" spans="1:12" x14ac:dyDescent="0.35">
      <c r="A142" t="s">
        <v>169</v>
      </c>
      <c r="B142" s="1">
        <v>46278.570469798658</v>
      </c>
      <c r="C142" t="s">
        <v>33</v>
      </c>
      <c r="D142" t="s">
        <v>14</v>
      </c>
      <c r="E142" t="s">
        <v>30</v>
      </c>
      <c r="F142">
        <v>1</v>
      </c>
      <c r="G142" s="2">
        <v>28853</v>
      </c>
      <c r="H142" s="2">
        <v>20784</v>
      </c>
      <c r="I142" s="2">
        <v>28853</v>
      </c>
      <c r="J142" s="2">
        <v>20784</v>
      </c>
      <c r="K142" s="2">
        <v>8069</v>
      </c>
      <c r="L142" s="3">
        <v>0.27965896093993692</v>
      </c>
    </row>
    <row r="143" spans="1:12" x14ac:dyDescent="0.35">
      <c r="A143" t="s">
        <v>170</v>
      </c>
      <c r="B143" s="1">
        <v>46280.395973154351</v>
      </c>
      <c r="C143" t="s">
        <v>42</v>
      </c>
      <c r="D143" t="s">
        <v>23</v>
      </c>
      <c r="E143" t="s">
        <v>30</v>
      </c>
      <c r="F143">
        <v>7</v>
      </c>
      <c r="G143" s="2">
        <v>1120</v>
      </c>
      <c r="H143" s="2">
        <v>679</v>
      </c>
      <c r="I143" s="2">
        <v>7840</v>
      </c>
      <c r="J143" s="2">
        <v>4753</v>
      </c>
      <c r="K143" s="2">
        <v>3087</v>
      </c>
      <c r="L143" s="3">
        <v>0.39374999999999999</v>
      </c>
    </row>
    <row r="144" spans="1:12" x14ac:dyDescent="0.35">
      <c r="A144" t="s">
        <v>171</v>
      </c>
      <c r="B144" s="1">
        <v>46282.221476510058</v>
      </c>
      <c r="C144" t="s">
        <v>45</v>
      </c>
      <c r="D144" t="s">
        <v>14</v>
      </c>
      <c r="E144" t="s">
        <v>15</v>
      </c>
      <c r="F144">
        <v>2</v>
      </c>
      <c r="G144" s="2">
        <v>51344</v>
      </c>
      <c r="H144" s="2">
        <v>43502</v>
      </c>
      <c r="I144" s="2">
        <v>102688</v>
      </c>
      <c r="J144" s="2">
        <v>87004</v>
      </c>
      <c r="K144" s="2">
        <v>15684</v>
      </c>
      <c r="L144" s="3">
        <v>0.15273449672795261</v>
      </c>
    </row>
    <row r="145" spans="1:12" x14ac:dyDescent="0.35">
      <c r="A145" t="s">
        <v>172</v>
      </c>
      <c r="B145" s="1">
        <v>46284.046979865772</v>
      </c>
      <c r="C145" t="s">
        <v>19</v>
      </c>
      <c r="D145" t="s">
        <v>20</v>
      </c>
      <c r="E145" t="s">
        <v>30</v>
      </c>
      <c r="F145">
        <v>7</v>
      </c>
      <c r="G145" s="2">
        <v>9077</v>
      </c>
      <c r="H145" s="2">
        <v>5616</v>
      </c>
      <c r="I145" s="2">
        <v>63539</v>
      </c>
      <c r="J145" s="2">
        <v>39312</v>
      </c>
      <c r="K145" s="2">
        <v>24227</v>
      </c>
      <c r="L145" s="3">
        <v>0.38129337886967057</v>
      </c>
    </row>
    <row r="146" spans="1:12" x14ac:dyDescent="0.35">
      <c r="A146" t="s">
        <v>173</v>
      </c>
      <c r="B146" s="1">
        <v>46285.872483221472</v>
      </c>
      <c r="C146" t="s">
        <v>13</v>
      </c>
      <c r="D146" t="s">
        <v>14</v>
      </c>
      <c r="E146" t="s">
        <v>25</v>
      </c>
      <c r="F146">
        <v>6</v>
      </c>
      <c r="G146" s="2">
        <v>16634</v>
      </c>
      <c r="H146" s="2">
        <v>10861</v>
      </c>
      <c r="I146" s="2">
        <v>99804</v>
      </c>
      <c r="J146" s="2">
        <v>65166</v>
      </c>
      <c r="K146" s="2">
        <v>34638</v>
      </c>
      <c r="L146" s="3">
        <v>0.34706023806661063</v>
      </c>
    </row>
    <row r="147" spans="1:12" x14ac:dyDescent="0.35">
      <c r="A147" t="s">
        <v>174</v>
      </c>
      <c r="B147" s="1">
        <v>46287.697986577179</v>
      </c>
      <c r="C147" t="s">
        <v>39</v>
      </c>
      <c r="D147" t="s">
        <v>23</v>
      </c>
      <c r="E147" t="s">
        <v>15</v>
      </c>
      <c r="F147">
        <v>3</v>
      </c>
      <c r="G147" s="2">
        <v>2658</v>
      </c>
      <c r="H147" s="2">
        <v>1402</v>
      </c>
      <c r="I147" s="2">
        <v>7974</v>
      </c>
      <c r="J147" s="2">
        <v>4206</v>
      </c>
      <c r="K147" s="2">
        <v>3768</v>
      </c>
      <c r="L147" s="3">
        <v>0.47253574115876601</v>
      </c>
    </row>
    <row r="148" spans="1:12" x14ac:dyDescent="0.35">
      <c r="A148" t="s">
        <v>175</v>
      </c>
      <c r="B148" s="1">
        <v>46289.523489932879</v>
      </c>
      <c r="C148" t="s">
        <v>33</v>
      </c>
      <c r="D148" t="s">
        <v>14</v>
      </c>
      <c r="E148" t="s">
        <v>25</v>
      </c>
      <c r="F148">
        <v>2</v>
      </c>
      <c r="G148" s="2">
        <v>27539</v>
      </c>
      <c r="H148" s="2">
        <v>20957</v>
      </c>
      <c r="I148" s="2">
        <v>55078</v>
      </c>
      <c r="J148" s="2">
        <v>41914</v>
      </c>
      <c r="K148" s="2">
        <v>13164</v>
      </c>
      <c r="L148" s="3">
        <v>0.23900649987290751</v>
      </c>
    </row>
    <row r="149" spans="1:12" x14ac:dyDescent="0.35">
      <c r="A149" t="s">
        <v>176</v>
      </c>
      <c r="B149" s="1">
        <v>46291.348993288593</v>
      </c>
      <c r="C149" t="s">
        <v>13</v>
      </c>
      <c r="D149" t="s">
        <v>14</v>
      </c>
      <c r="E149" t="s">
        <v>17</v>
      </c>
      <c r="F149">
        <v>5</v>
      </c>
      <c r="G149" s="2">
        <v>16164</v>
      </c>
      <c r="H149" s="2">
        <v>11970</v>
      </c>
      <c r="I149" s="2">
        <v>80820</v>
      </c>
      <c r="J149" s="2">
        <v>59850</v>
      </c>
      <c r="K149" s="2">
        <v>20970</v>
      </c>
      <c r="L149" s="3">
        <v>0.25946547884187082</v>
      </c>
    </row>
    <row r="150" spans="1:12" x14ac:dyDescent="0.35">
      <c r="A150" t="s">
        <v>177</v>
      </c>
      <c r="B150" s="1">
        <v>46293.174496644293</v>
      </c>
      <c r="C150" t="s">
        <v>22</v>
      </c>
      <c r="D150" t="s">
        <v>23</v>
      </c>
      <c r="E150" t="s">
        <v>30</v>
      </c>
      <c r="F150">
        <v>2</v>
      </c>
      <c r="G150" s="2">
        <v>1723</v>
      </c>
      <c r="H150" s="2">
        <v>981</v>
      </c>
      <c r="I150" s="2">
        <v>3446</v>
      </c>
      <c r="J150" s="2">
        <v>1962</v>
      </c>
      <c r="K150" s="2">
        <v>1484</v>
      </c>
      <c r="L150" s="3">
        <v>0.4306442251886245</v>
      </c>
    </row>
    <row r="151" spans="1:12" x14ac:dyDescent="0.35">
      <c r="A151" t="s">
        <v>178</v>
      </c>
      <c r="B151" s="1">
        <v>46295</v>
      </c>
      <c r="C151" t="s">
        <v>42</v>
      </c>
      <c r="D151" t="s">
        <v>23</v>
      </c>
      <c r="E151" t="s">
        <v>25</v>
      </c>
      <c r="F151">
        <v>4</v>
      </c>
      <c r="G151" s="2">
        <v>1229</v>
      </c>
      <c r="H151" s="2">
        <v>648</v>
      </c>
      <c r="I151" s="2">
        <v>4916</v>
      </c>
      <c r="J151" s="2">
        <v>2592</v>
      </c>
      <c r="K151" s="2">
        <v>2324</v>
      </c>
      <c r="L151" s="3">
        <v>0.47274206672091129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D0A41-8593-4C98-9157-A3E01751D055}">
  <dimension ref="A1:S6"/>
  <sheetViews>
    <sheetView tabSelected="1" zoomScale="60" zoomScaleNormal="60" workbookViewId="0">
      <selection activeCell="P31" sqref="P31"/>
    </sheetView>
  </sheetViews>
  <sheetFormatPr defaultRowHeight="14.5" x14ac:dyDescent="0.35"/>
  <sheetData>
    <row r="1" spans="1:19" ht="31" customHeight="1" x14ac:dyDescent="0.75">
      <c r="A1" s="12" t="s">
        <v>197</v>
      </c>
      <c r="B1" s="12"/>
      <c r="C1" s="12"/>
      <c r="D1" s="12"/>
      <c r="E1" s="12"/>
      <c r="F1" s="12"/>
      <c r="G1" s="12"/>
      <c r="H1" s="12"/>
      <c r="I1" s="12"/>
      <c r="J1" s="12"/>
      <c r="K1" s="12"/>
      <c r="L1" s="12"/>
      <c r="M1" s="12"/>
      <c r="N1" s="12"/>
      <c r="O1" s="12"/>
      <c r="P1" s="12"/>
      <c r="Q1" s="12"/>
      <c r="R1" s="12"/>
      <c r="S1" s="12"/>
    </row>
    <row r="2" spans="1:19" ht="15.5" x14ac:dyDescent="0.35">
      <c r="A2" s="17" t="s">
        <v>198</v>
      </c>
      <c r="B2" s="17"/>
      <c r="C2" s="11"/>
      <c r="D2" s="17" t="s">
        <v>199</v>
      </c>
      <c r="E2" s="17"/>
      <c r="F2" s="11"/>
      <c r="G2" s="17" t="s">
        <v>200</v>
      </c>
      <c r="H2" s="17"/>
      <c r="I2" s="11"/>
      <c r="J2" s="17" t="s">
        <v>201</v>
      </c>
      <c r="K2" s="17"/>
    </row>
    <row r="3" spans="1:19" x14ac:dyDescent="0.35">
      <c r="A3" s="13">
        <f>GETPIVOTDATA("Sum of Revenue",Pivots!$A$35)</f>
        <v>11207630</v>
      </c>
      <c r="B3" s="13"/>
      <c r="D3" s="14">
        <f>GETPIVOTDATA("Sum of Profit",Pivots!$A$35)</f>
        <v>2747019</v>
      </c>
      <c r="E3" s="14"/>
      <c r="G3" s="15">
        <f>SUM(D3)/SUM(SalesData[Revenue])</f>
        <v>0.2451025774405472</v>
      </c>
      <c r="H3" s="15"/>
      <c r="J3" s="16">
        <f>GETPIVOTDATA("Sum of Units Sold",Pivots!$A$35)</f>
        <v>712</v>
      </c>
      <c r="K3" s="16"/>
    </row>
    <row r="4" spans="1:19" x14ac:dyDescent="0.35">
      <c r="A4" s="13"/>
      <c r="B4" s="13"/>
      <c r="D4" s="14"/>
      <c r="E4" s="14"/>
      <c r="G4" s="15"/>
      <c r="H4" s="15"/>
      <c r="J4" s="16"/>
      <c r="K4" s="16"/>
    </row>
    <row r="5" spans="1:19" x14ac:dyDescent="0.35">
      <c r="A5" s="13"/>
      <c r="B5" s="13"/>
      <c r="D5" s="14"/>
      <c r="E5" s="14"/>
      <c r="G5" s="15"/>
      <c r="H5" s="15"/>
      <c r="J5" s="16"/>
      <c r="K5" s="16"/>
    </row>
    <row r="6" spans="1:19" x14ac:dyDescent="0.35">
      <c r="A6" s="13"/>
      <c r="B6" s="13"/>
      <c r="D6" s="14"/>
      <c r="E6" s="14"/>
      <c r="G6" s="15"/>
      <c r="H6" s="15"/>
      <c r="J6" s="16"/>
      <c r="K6" s="16"/>
    </row>
  </sheetData>
  <mergeCells count="9">
    <mergeCell ref="A3:B6"/>
    <mergeCell ref="D3:E6"/>
    <mergeCell ref="G3:H6"/>
    <mergeCell ref="J3:K6"/>
    <mergeCell ref="D2:E2"/>
    <mergeCell ref="A2:B2"/>
    <mergeCell ref="G2:H2"/>
    <mergeCell ref="J2:K2"/>
    <mergeCell ref="A1:S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0E828-33A0-434F-87EC-DED487237E18}">
  <dimension ref="A2:G36"/>
  <sheetViews>
    <sheetView topLeftCell="A31" workbookViewId="0">
      <selection activeCell="A35" sqref="A35"/>
    </sheetView>
  </sheetViews>
  <sheetFormatPr defaultRowHeight="14.5" x14ac:dyDescent="0.35"/>
  <cols>
    <col min="1" max="1" width="14.36328125" bestFit="1" customWidth="1"/>
    <col min="2" max="2" width="15.54296875" bestFit="1" customWidth="1"/>
    <col min="3" max="3" width="11.81640625" bestFit="1" customWidth="1"/>
    <col min="4" max="4" width="18.36328125" bestFit="1" customWidth="1"/>
    <col min="5" max="5" width="11.36328125" bestFit="1" customWidth="1"/>
    <col min="6" max="6" width="8.54296875" bestFit="1" customWidth="1"/>
    <col min="7" max="7" width="7.81640625" bestFit="1" customWidth="1"/>
  </cols>
  <sheetData>
    <row r="2" spans="1:7" x14ac:dyDescent="0.35">
      <c r="A2" s="9" t="s">
        <v>193</v>
      </c>
      <c r="B2" s="9"/>
      <c r="E2" s="9" t="s">
        <v>194</v>
      </c>
      <c r="F2" s="9"/>
    </row>
    <row r="3" spans="1:7" x14ac:dyDescent="0.35">
      <c r="A3" s="5" t="s">
        <v>188</v>
      </c>
      <c r="B3" t="s">
        <v>190</v>
      </c>
      <c r="E3" s="5" t="s">
        <v>3</v>
      </c>
      <c r="F3" t="s">
        <v>189</v>
      </c>
    </row>
    <row r="4" spans="1:7" x14ac:dyDescent="0.35">
      <c r="A4" s="6" t="s">
        <v>179</v>
      </c>
      <c r="B4" s="7">
        <v>873168</v>
      </c>
      <c r="E4" s="6" t="s">
        <v>23</v>
      </c>
      <c r="F4" s="7">
        <v>153979</v>
      </c>
    </row>
    <row r="5" spans="1:7" x14ac:dyDescent="0.35">
      <c r="A5" s="6" t="s">
        <v>180</v>
      </c>
      <c r="B5" s="7">
        <v>1034017</v>
      </c>
      <c r="E5" s="6" t="s">
        <v>14</v>
      </c>
      <c r="F5" s="7">
        <v>2028926</v>
      </c>
    </row>
    <row r="6" spans="1:7" x14ac:dyDescent="0.35">
      <c r="A6" s="6" t="s">
        <v>181</v>
      </c>
      <c r="B6" s="7">
        <v>1569998</v>
      </c>
      <c r="E6" s="6" t="s">
        <v>20</v>
      </c>
      <c r="F6" s="7">
        <v>564114</v>
      </c>
    </row>
    <row r="7" spans="1:7" x14ac:dyDescent="0.35">
      <c r="A7" s="6" t="s">
        <v>182</v>
      </c>
      <c r="B7" s="7">
        <v>2046855</v>
      </c>
    </row>
    <row r="8" spans="1:7" x14ac:dyDescent="0.35">
      <c r="A8" s="6" t="s">
        <v>183</v>
      </c>
      <c r="B8" s="7">
        <v>1304573</v>
      </c>
    </row>
    <row r="9" spans="1:7" x14ac:dyDescent="0.35">
      <c r="A9" s="6" t="s">
        <v>184</v>
      </c>
      <c r="B9" s="7">
        <v>585478</v>
      </c>
    </row>
    <row r="10" spans="1:7" x14ac:dyDescent="0.35">
      <c r="A10" s="6" t="s">
        <v>185</v>
      </c>
      <c r="B10" s="7">
        <v>1121307</v>
      </c>
    </row>
    <row r="11" spans="1:7" x14ac:dyDescent="0.35">
      <c r="A11" s="6" t="s">
        <v>186</v>
      </c>
      <c r="B11" s="7">
        <v>1916863</v>
      </c>
    </row>
    <row r="12" spans="1:7" x14ac:dyDescent="0.35">
      <c r="A12" s="6" t="s">
        <v>187</v>
      </c>
      <c r="B12" s="7">
        <v>755371</v>
      </c>
    </row>
    <row r="14" spans="1:7" x14ac:dyDescent="0.35">
      <c r="A14" s="6"/>
      <c r="B14" s="7"/>
    </row>
    <row r="15" spans="1:7" x14ac:dyDescent="0.35">
      <c r="A15" s="10" t="s">
        <v>195</v>
      </c>
      <c r="B15" s="9"/>
      <c r="C15" s="9"/>
      <c r="E15" s="9" t="s">
        <v>196</v>
      </c>
    </row>
    <row r="16" spans="1:7" x14ac:dyDescent="0.35">
      <c r="A16" s="5" t="s">
        <v>191</v>
      </c>
      <c r="B16" t="s">
        <v>190</v>
      </c>
      <c r="C16" t="s">
        <v>189</v>
      </c>
      <c r="E16" s="5" t="s">
        <v>192</v>
      </c>
      <c r="F16" t="s">
        <v>190</v>
      </c>
      <c r="G16" t="s">
        <v>189</v>
      </c>
    </row>
    <row r="17" spans="1:7" x14ac:dyDescent="0.35">
      <c r="A17" s="6" t="s">
        <v>30</v>
      </c>
      <c r="B17" s="7">
        <v>1980476</v>
      </c>
      <c r="C17" s="7">
        <v>487259</v>
      </c>
      <c r="D17" s="8"/>
      <c r="E17" s="6" t="s">
        <v>45</v>
      </c>
      <c r="F17" s="7">
        <v>4936448</v>
      </c>
      <c r="G17" s="7">
        <v>1012580</v>
      </c>
    </row>
    <row r="18" spans="1:7" x14ac:dyDescent="0.35">
      <c r="A18" s="6" t="s">
        <v>17</v>
      </c>
      <c r="B18" s="7">
        <v>2730859</v>
      </c>
      <c r="C18" s="7">
        <v>706400</v>
      </c>
      <c r="D18" s="8"/>
      <c r="E18" s="6" t="s">
        <v>33</v>
      </c>
      <c r="F18" s="7">
        <v>1883646</v>
      </c>
      <c r="G18" s="7">
        <v>404870</v>
      </c>
    </row>
    <row r="19" spans="1:7" x14ac:dyDescent="0.35">
      <c r="A19" s="6" t="s">
        <v>25</v>
      </c>
      <c r="B19" s="7">
        <v>2656295</v>
      </c>
      <c r="C19" s="7">
        <v>607436</v>
      </c>
      <c r="D19" s="8"/>
      <c r="E19" s="6" t="s">
        <v>27</v>
      </c>
      <c r="F19" s="7">
        <v>1329176</v>
      </c>
      <c r="G19" s="7">
        <v>311833</v>
      </c>
    </row>
    <row r="20" spans="1:7" x14ac:dyDescent="0.35">
      <c r="A20" s="6" t="s">
        <v>15</v>
      </c>
      <c r="B20" s="7">
        <v>3840000</v>
      </c>
      <c r="C20" s="7">
        <v>945924</v>
      </c>
      <c r="D20" s="8"/>
      <c r="E20" s="6" t="s">
        <v>50</v>
      </c>
      <c r="F20" s="7">
        <v>1296104</v>
      </c>
      <c r="G20" s="7">
        <v>417141</v>
      </c>
    </row>
    <row r="21" spans="1:7" x14ac:dyDescent="0.35">
      <c r="D21" s="8"/>
      <c r="E21" s="6" t="s">
        <v>13</v>
      </c>
      <c r="F21" s="7">
        <v>650407</v>
      </c>
      <c r="G21" s="7">
        <v>192338</v>
      </c>
    </row>
    <row r="22" spans="1:7" x14ac:dyDescent="0.35">
      <c r="E22" s="6" t="s">
        <v>19</v>
      </c>
      <c r="F22" s="7">
        <v>470054</v>
      </c>
      <c r="G22" s="7">
        <v>146973</v>
      </c>
    </row>
    <row r="23" spans="1:7" x14ac:dyDescent="0.35">
      <c r="E23" s="6" t="s">
        <v>29</v>
      </c>
      <c r="F23" s="7">
        <v>294124</v>
      </c>
      <c r="G23" s="7">
        <v>107305</v>
      </c>
    </row>
    <row r="24" spans="1:7" x14ac:dyDescent="0.35">
      <c r="E24" s="6" t="s">
        <v>22</v>
      </c>
      <c r="F24" s="7">
        <v>149264</v>
      </c>
      <c r="G24" s="7">
        <v>66908</v>
      </c>
    </row>
    <row r="25" spans="1:7" x14ac:dyDescent="0.35">
      <c r="E25" s="6" t="s">
        <v>39</v>
      </c>
      <c r="F25" s="7">
        <v>101368</v>
      </c>
      <c r="G25" s="7">
        <v>44000</v>
      </c>
    </row>
    <row r="26" spans="1:7" x14ac:dyDescent="0.35">
      <c r="E26" s="6" t="s">
        <v>42</v>
      </c>
      <c r="F26" s="7">
        <v>97039</v>
      </c>
      <c r="G26" s="7">
        <v>43071</v>
      </c>
    </row>
    <row r="35" spans="1:3" x14ac:dyDescent="0.35">
      <c r="A35" t="s">
        <v>202</v>
      </c>
      <c r="B35" t="s">
        <v>204</v>
      </c>
      <c r="C35" t="s">
        <v>203</v>
      </c>
    </row>
    <row r="36" spans="1:3" x14ac:dyDescent="0.35">
      <c r="A36" s="7">
        <v>11207630</v>
      </c>
      <c r="B36" s="7">
        <v>712</v>
      </c>
      <c r="C36" s="7">
        <v>2747019</v>
      </c>
    </row>
  </sheetData>
  <pageMargins left="0.7" right="0.7" top="0.75" bottom="0.75" header="0.3" footer="0.3"/>
  <pageSetup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Dashboard</vt:lpstr>
      <vt:lpstr>Pivots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2026-10-08T04:04:08Z</dcterms:created>
  <dcterms:modified xsi:type="dcterms:W3CDTF">2026-10-08T13:03:16Z</dcterms:modified>
</cp:coreProperties>
</file>